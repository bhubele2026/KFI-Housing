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.sharepoint.com/sites/KFISImplementation/Shared Documents/Housing Master File and Leases/"/>
    </mc:Choice>
  </mc:AlternateContent>
  <xr:revisionPtr revIDLastSave="0" documentId="8_{D71501B4-6B1B-47E7-8729-905B7A6EA4B0}" xr6:coauthVersionLast="47" xr6:coauthVersionMax="47" xr10:uidLastSave="{00000000-0000-0000-0000-000000000000}"/>
  <bookViews>
    <workbookView xWindow="-28920" yWindow="45" windowWidth="29040" windowHeight="15720" firstSheet="5" activeTab="5" xr2:uid="{7AF8182E-C411-4664-B59A-A9F1277DE667}"/>
  </bookViews>
  <sheets>
    <sheet name="MV.Baraboo,WI" sheetId="8" r:id="rId1"/>
    <sheet name="InterWire.Rome,NY" sheetId="6" r:id="rId2"/>
    <sheet name="WB Man.Gilman,WI" sheetId="2" r:id="rId3"/>
    <sheet name="Landscape.Plymounth, MN" sheetId="13" r:id="rId4"/>
    <sheet name="Schuette.Wausau,WI" sheetId="9" r:id="rId5"/>
    <sheet name="P2.P5-Portage,WI" sheetId="3" r:id="rId6"/>
    <sheet name="Greystone" sheetId="5" r:id="rId7"/>
    <sheet name="Shusters.Greenock." sheetId="4" r:id="rId8"/>
    <sheet name="Burnett.Siren.Hincley." sheetId="12" r:id="rId9"/>
    <sheet name="Delallo.Jeannette,PA" sheetId="10" r:id="rId10"/>
    <sheet name="Lanyard Address" sheetId="7" r:id="rId1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H11" i="10" l="1"/>
  <c r="I25" i="10"/>
  <c r="J25" i="10" s="1"/>
  <c r="H25" i="10"/>
  <c r="I24" i="10"/>
  <c r="J24" i="10" s="1"/>
  <c r="H24" i="10"/>
  <c r="I23" i="10"/>
  <c r="J23" i="10" s="1"/>
  <c r="H23" i="10"/>
  <c r="I22" i="10"/>
  <c r="J22" i="10" s="1"/>
  <c r="H22" i="10"/>
  <c r="I19" i="10"/>
  <c r="J19" i="10" s="1"/>
  <c r="H19" i="10"/>
  <c r="I18" i="10"/>
  <c r="J18" i="10" s="1"/>
  <c r="H18" i="10"/>
  <c r="I17" i="10"/>
  <c r="J17" i="10" s="1"/>
  <c r="H17" i="10"/>
  <c r="I16" i="10"/>
  <c r="J16" i="10" s="1"/>
  <c r="H16" i="10"/>
  <c r="I5" i="4" l="1"/>
  <c r="J6" i="4"/>
  <c r="J5" i="4"/>
  <c r="J4" i="4"/>
  <c r="H14" i="13"/>
  <c r="H12" i="13"/>
  <c r="H4" i="13"/>
  <c r="H6" i="13"/>
  <c r="H8" i="13"/>
  <c r="H10" i="13"/>
  <c r="I14" i="13"/>
  <c r="J14" i="13" s="1"/>
  <c r="I13" i="13"/>
  <c r="J13" i="13" s="1"/>
  <c r="H13" i="13"/>
  <c r="I12" i="13"/>
  <c r="J12" i="13" s="1"/>
  <c r="I11" i="13"/>
  <c r="J11" i="13" s="1"/>
  <c r="H11" i="13"/>
  <c r="I10" i="13"/>
  <c r="J10" i="13" s="1"/>
  <c r="I9" i="13"/>
  <c r="J9" i="13" s="1"/>
  <c r="H9" i="13"/>
  <c r="I8" i="13"/>
  <c r="J8" i="13" s="1"/>
  <c r="I7" i="13"/>
  <c r="J7" i="13" s="1"/>
  <c r="H7" i="13"/>
  <c r="I6" i="13"/>
  <c r="J6" i="13" s="1"/>
  <c r="I5" i="13"/>
  <c r="J5" i="13" s="1"/>
  <c r="H5" i="13"/>
  <c r="I4" i="13"/>
  <c r="J4" i="13" s="1"/>
  <c r="I3" i="13"/>
  <c r="H3" i="13"/>
  <c r="I15" i="13" l="1"/>
  <c r="H15" i="13"/>
  <c r="J3" i="13"/>
  <c r="J15" i="13" s="1"/>
  <c r="N220" i="12"/>
  <c r="N221" i="12" s="1"/>
  <c r="N222" i="12" s="1"/>
  <c r="N223" i="12" s="1"/>
  <c r="N224" i="12" s="1"/>
  <c r="N225" i="12" s="1"/>
  <c r="N226" i="12" s="1"/>
  <c r="N227" i="12" s="1"/>
  <c r="N228" i="12" s="1"/>
  <c r="N212" i="12"/>
  <c r="N213" i="12" s="1"/>
  <c r="N214" i="12" s="1"/>
  <c r="N215" i="12" s="1"/>
  <c r="F198" i="12"/>
  <c r="F199" i="12" s="1"/>
  <c r="F200" i="12" s="1"/>
  <c r="N201" i="12" s="1"/>
  <c r="N202" i="12" s="1"/>
  <c r="N203" i="12" s="1"/>
  <c r="N204" i="12" s="1"/>
  <c r="N205" i="12" s="1"/>
  <c r="N206" i="12" s="1"/>
  <c r="N207" i="12" s="1"/>
  <c r="N208" i="12" s="1"/>
  <c r="K32" i="12"/>
  <c r="I32" i="12"/>
  <c r="J32" i="12" s="1"/>
  <c r="H32" i="12"/>
  <c r="K31" i="12"/>
  <c r="I31" i="12"/>
  <c r="J31" i="12" s="1"/>
  <c r="H31" i="12"/>
  <c r="K30" i="12"/>
  <c r="I30" i="12"/>
  <c r="J30" i="12" s="1"/>
  <c r="H30" i="12"/>
  <c r="K29" i="12"/>
  <c r="I29" i="12"/>
  <c r="J29" i="12" s="1"/>
  <c r="H29" i="12"/>
  <c r="K28" i="12"/>
  <c r="I28" i="12"/>
  <c r="J28" i="12" s="1"/>
  <c r="H28" i="12"/>
  <c r="K27" i="12"/>
  <c r="I27" i="12"/>
  <c r="J27" i="12" s="1"/>
  <c r="H27" i="12"/>
  <c r="K26" i="12"/>
  <c r="I26" i="12"/>
  <c r="J26" i="12" s="1"/>
  <c r="H26" i="12"/>
  <c r="K25" i="12"/>
  <c r="I25" i="12"/>
  <c r="J25" i="12" s="1"/>
  <c r="H25" i="12"/>
  <c r="K24" i="12"/>
  <c r="I24" i="12"/>
  <c r="J24" i="12" s="1"/>
  <c r="H24" i="12"/>
  <c r="K23" i="12"/>
  <c r="I23" i="12"/>
  <c r="J23" i="12" s="1"/>
  <c r="H23" i="12"/>
  <c r="K22" i="12"/>
  <c r="I22" i="12"/>
  <c r="J22" i="12" s="1"/>
  <c r="H22" i="12"/>
  <c r="J21" i="12"/>
  <c r="H21" i="12"/>
  <c r="K19" i="12"/>
  <c r="I19" i="12"/>
  <c r="J19" i="12" s="1"/>
  <c r="K18" i="12"/>
  <c r="I18" i="12"/>
  <c r="J18" i="12" s="1"/>
  <c r="K17" i="12"/>
  <c r="I17" i="12"/>
  <c r="J17" i="12" s="1"/>
  <c r="K16" i="12"/>
  <c r="I16" i="12"/>
  <c r="J16" i="12" s="1"/>
  <c r="K14" i="12"/>
  <c r="I14" i="12"/>
  <c r="J14" i="12" s="1"/>
  <c r="K13" i="12"/>
  <c r="I13" i="12"/>
  <c r="J13" i="12" s="1"/>
  <c r="K12" i="12"/>
  <c r="I12" i="12"/>
  <c r="J12" i="12" s="1"/>
  <c r="K11" i="12"/>
  <c r="I11" i="12"/>
  <c r="J11" i="12" s="1"/>
  <c r="K10" i="12"/>
  <c r="I10" i="12"/>
  <c r="J10" i="12" s="1"/>
  <c r="K9" i="12"/>
  <c r="I9" i="12"/>
  <c r="J9" i="12" s="1"/>
  <c r="K8" i="12"/>
  <c r="I8" i="12"/>
  <c r="J8" i="12" s="1"/>
  <c r="K6" i="12"/>
  <c r="K5" i="12"/>
  <c r="K4" i="12"/>
  <c r="K3" i="12"/>
  <c r="H35" i="12" l="1"/>
  <c r="J35" i="12"/>
  <c r="I17" i="6" l="1"/>
  <c r="J17" i="6" s="1"/>
  <c r="H17" i="6"/>
  <c r="I16" i="6"/>
  <c r="J16" i="6" s="1"/>
  <c r="H16" i="6"/>
  <c r="I15" i="6"/>
  <c r="J15" i="6" s="1"/>
  <c r="H15" i="6"/>
  <c r="I14" i="6"/>
  <c r="J14" i="6" s="1"/>
  <c r="H14" i="6"/>
  <c r="I13" i="6"/>
  <c r="J13" i="6" s="1"/>
  <c r="H13" i="6"/>
  <c r="I12" i="6"/>
  <c r="J12" i="6" s="1"/>
  <c r="H12" i="6"/>
  <c r="I11" i="6"/>
  <c r="J11" i="6" s="1"/>
  <c r="H11" i="6"/>
  <c r="I10" i="6"/>
  <c r="J10" i="6" s="1"/>
  <c r="H10" i="6"/>
  <c r="K8" i="5"/>
  <c r="G56" i="4" l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D56" i="4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K4" i="5"/>
  <c r="L4" i="5" s="1"/>
  <c r="K5" i="5"/>
  <c r="L5" i="5" s="1"/>
  <c r="K6" i="5"/>
  <c r="L6" i="5" s="1"/>
  <c r="K7" i="5"/>
  <c r="L7" i="5" s="1"/>
  <c r="L8" i="5"/>
  <c r="J4" i="5"/>
  <c r="J5" i="5"/>
  <c r="J6" i="5"/>
  <c r="J7" i="5"/>
  <c r="J8" i="5"/>
  <c r="K3" i="5"/>
  <c r="J3" i="5"/>
  <c r="I5" i="10"/>
  <c r="J5" i="10" s="1"/>
  <c r="I6" i="10"/>
  <c r="J6" i="10" s="1"/>
  <c r="I7" i="10"/>
  <c r="J7" i="10" s="1"/>
  <c r="I10" i="10"/>
  <c r="J10" i="10" s="1"/>
  <c r="I11" i="10"/>
  <c r="J11" i="10" s="1"/>
  <c r="I12" i="10"/>
  <c r="J12" i="10" s="1"/>
  <c r="I13" i="10"/>
  <c r="J13" i="10" s="1"/>
  <c r="I4" i="10"/>
  <c r="H5" i="10"/>
  <c r="H6" i="10"/>
  <c r="H7" i="10"/>
  <c r="H10" i="10"/>
  <c r="H12" i="10"/>
  <c r="H13" i="10"/>
  <c r="H4" i="10"/>
  <c r="I10" i="9"/>
  <c r="J10" i="9" s="1"/>
  <c r="I9" i="9"/>
  <c r="J9" i="9" s="1"/>
  <c r="I8" i="9"/>
  <c r="J8" i="9" s="1"/>
  <c r="H15" i="9"/>
  <c r="H14" i="9"/>
  <c r="H13" i="9"/>
  <c r="H12" i="9"/>
  <c r="H11" i="9"/>
  <c r="H10" i="9"/>
  <c r="H9" i="9"/>
  <c r="H8" i="9"/>
  <c r="I15" i="9"/>
  <c r="J15" i="9" s="1"/>
  <c r="I14" i="9"/>
  <c r="J14" i="9" s="1"/>
  <c r="I13" i="9"/>
  <c r="J13" i="9" s="1"/>
  <c r="I12" i="9"/>
  <c r="J12" i="9" s="1"/>
  <c r="I11" i="9"/>
  <c r="J11" i="9" s="1"/>
  <c r="I17" i="3"/>
  <c r="J17" i="3" s="1"/>
  <c r="I18" i="3"/>
  <c r="J18" i="3" s="1"/>
  <c r="I19" i="3"/>
  <c r="J19" i="3" s="1"/>
  <c r="I20" i="3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16" i="3"/>
  <c r="J16" i="3" s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17" i="3"/>
  <c r="J4" i="10" l="1"/>
  <c r="J8" i="10" s="1"/>
  <c r="I8" i="10"/>
  <c r="I28" i="10" s="1"/>
  <c r="H8" i="10"/>
  <c r="H28" i="10" s="1"/>
  <c r="K9" i="5"/>
  <c r="L3" i="5"/>
  <c r="L9" i="5" s="1"/>
  <c r="J9" i="5"/>
  <c r="J20" i="3"/>
  <c r="J28" i="10" l="1"/>
  <c r="I4" i="9"/>
  <c r="J4" i="9" s="1"/>
  <c r="I5" i="9"/>
  <c r="J5" i="9" s="1"/>
  <c r="I6" i="9"/>
  <c r="J6" i="9" s="1"/>
  <c r="I7" i="9"/>
  <c r="J7" i="9" s="1"/>
  <c r="I3" i="9"/>
  <c r="J3" i="9" s="1"/>
  <c r="H4" i="9"/>
  <c r="H5" i="9"/>
  <c r="H6" i="9"/>
  <c r="H7" i="9"/>
  <c r="H3" i="9"/>
  <c r="H16" i="9" l="1"/>
  <c r="J16" i="9"/>
  <c r="I16" i="9"/>
  <c r="D20" i="8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15" i="8"/>
  <c r="C15" i="8"/>
  <c r="B15" i="8"/>
  <c r="H14" i="8"/>
  <c r="I14" i="8" s="1"/>
  <c r="G14" i="8"/>
  <c r="H13" i="8"/>
  <c r="I13" i="8" s="1"/>
  <c r="G13" i="8"/>
  <c r="H12" i="8"/>
  <c r="I12" i="8" s="1"/>
  <c r="G12" i="8"/>
  <c r="M11" i="8"/>
  <c r="L11" i="8"/>
  <c r="K11" i="8"/>
  <c r="J11" i="8"/>
  <c r="H11" i="8"/>
  <c r="I11" i="8" s="1"/>
  <c r="G11" i="8"/>
  <c r="H10" i="8"/>
  <c r="I10" i="8" s="1"/>
  <c r="G10" i="8"/>
  <c r="L9" i="8"/>
  <c r="K9" i="8"/>
  <c r="J9" i="8"/>
  <c r="H9" i="8"/>
  <c r="I9" i="8" s="1"/>
  <c r="G9" i="8"/>
  <c r="H8" i="8"/>
  <c r="I8" i="8" s="1"/>
  <c r="G8" i="8"/>
  <c r="M7" i="8"/>
  <c r="L7" i="8"/>
  <c r="K7" i="8"/>
  <c r="H7" i="8"/>
  <c r="I7" i="8" s="1"/>
  <c r="G7" i="8"/>
  <c r="H6" i="8"/>
  <c r="I6" i="8" s="1"/>
  <c r="G6" i="8"/>
  <c r="M5" i="8"/>
  <c r="K5" i="8"/>
  <c r="J5" i="8"/>
  <c r="H5" i="8"/>
  <c r="I5" i="8" s="1"/>
  <c r="G5" i="8"/>
  <c r="Q4" i="8" a="1"/>
  <c r="Q4" i="8" s="1"/>
  <c r="H4" i="8"/>
  <c r="I4" i="8" s="1"/>
  <c r="G4" i="8"/>
  <c r="Q3" i="8" a="1"/>
  <c r="Q3" i="8" s="1"/>
  <c r="M3" i="8"/>
  <c r="L3" i="8"/>
  <c r="K3" i="8"/>
  <c r="J3" i="8"/>
  <c r="H3" i="8"/>
  <c r="I3" i="8" s="1"/>
  <c r="G3" i="8"/>
  <c r="I15" i="8" l="1"/>
  <c r="G15" i="8"/>
  <c r="H15" i="8"/>
  <c r="H5" i="6" l="1"/>
  <c r="H6" i="6"/>
  <c r="H7" i="6"/>
  <c r="H8" i="6"/>
  <c r="H9" i="6"/>
  <c r="H4" i="6"/>
  <c r="I5" i="6"/>
  <c r="J5" i="6" s="1"/>
  <c r="I6" i="6"/>
  <c r="J6" i="6" s="1"/>
  <c r="I7" i="6"/>
  <c r="J7" i="6" s="1"/>
  <c r="I8" i="6"/>
  <c r="J8" i="6" s="1"/>
  <c r="I9" i="6"/>
  <c r="J9" i="6" s="1"/>
  <c r="I4" i="6"/>
  <c r="H45" i="4"/>
  <c r="H46" i="4"/>
  <c r="H48" i="4"/>
  <c r="H49" i="4"/>
  <c r="H44" i="4"/>
  <c r="G45" i="4"/>
  <c r="G46" i="4"/>
  <c r="G47" i="4"/>
  <c r="G48" i="4"/>
  <c r="G49" i="4"/>
  <c r="G50" i="4"/>
  <c r="G44" i="4"/>
  <c r="F45" i="4"/>
  <c r="F46" i="4"/>
  <c r="F47" i="4"/>
  <c r="F48" i="4"/>
  <c r="F49" i="4"/>
  <c r="F50" i="4"/>
  <c r="F44" i="4"/>
  <c r="E45" i="4"/>
  <c r="E46" i="4"/>
  <c r="E47" i="4"/>
  <c r="E48" i="4"/>
  <c r="E49" i="4"/>
  <c r="E50" i="4"/>
  <c r="E44" i="4"/>
  <c r="K4" i="4"/>
  <c r="I4" i="4"/>
  <c r="K5" i="4"/>
  <c r="K6" i="4"/>
  <c r="J7" i="4"/>
  <c r="J8" i="4"/>
  <c r="K8" i="4" s="1"/>
  <c r="J9" i="4"/>
  <c r="K9" i="4" s="1"/>
  <c r="J10" i="4"/>
  <c r="K10" i="4" s="1"/>
  <c r="J11" i="4"/>
  <c r="K11" i="4" s="1"/>
  <c r="I9" i="4"/>
  <c r="I10" i="4"/>
  <c r="I11" i="4"/>
  <c r="I8" i="4"/>
  <c r="I7" i="4"/>
  <c r="I6" i="4"/>
  <c r="H16" i="3"/>
  <c r="I15" i="3"/>
  <c r="J15" i="3" s="1"/>
  <c r="H15" i="3"/>
  <c r="I14" i="3"/>
  <c r="J14" i="3" s="1"/>
  <c r="H14" i="3"/>
  <c r="I12" i="3"/>
  <c r="J12" i="3" s="1"/>
  <c r="H12" i="3"/>
  <c r="I11" i="3"/>
  <c r="J11" i="3" s="1"/>
  <c r="H11" i="3"/>
  <c r="I10" i="3"/>
  <c r="J10" i="3" s="1"/>
  <c r="H10" i="3"/>
  <c r="I9" i="3"/>
  <c r="J9" i="3" s="1"/>
  <c r="H9" i="3"/>
  <c r="I8" i="3"/>
  <c r="J8" i="3" s="1"/>
  <c r="H8" i="3"/>
  <c r="I7" i="3"/>
  <c r="J7" i="3" s="1"/>
  <c r="H7" i="3"/>
  <c r="I6" i="3"/>
  <c r="J6" i="3" s="1"/>
  <c r="H6" i="3"/>
  <c r="I5" i="3"/>
  <c r="J5" i="3" s="1"/>
  <c r="H5" i="3"/>
  <c r="I4" i="3"/>
  <c r="J4" i="3" s="1"/>
  <c r="H4" i="3"/>
  <c r="I3" i="3"/>
  <c r="H3" i="3"/>
  <c r="L8" i="2"/>
  <c r="M8" i="2" s="1"/>
  <c r="K8" i="2"/>
  <c r="L7" i="2"/>
  <c r="M7" i="2" s="1"/>
  <c r="K7" i="2"/>
  <c r="L6" i="2"/>
  <c r="M6" i="2" s="1"/>
  <c r="K6" i="2"/>
  <c r="Q5" i="2"/>
  <c r="Q6" i="2" s="1"/>
  <c r="Q7" i="2" s="1"/>
  <c r="Q8" i="2" s="1"/>
  <c r="Q9" i="2" s="1"/>
  <c r="Q10" i="2" s="1"/>
  <c r="Q11" i="2" s="1"/>
  <c r="Q12" i="2" s="1"/>
  <c r="Q13" i="2" s="1"/>
  <c r="Q14" i="2" s="1"/>
  <c r="Q15" i="2" s="1"/>
  <c r="L5" i="2"/>
  <c r="M5" i="2" s="1"/>
  <c r="K5" i="2"/>
  <c r="L4" i="2"/>
  <c r="M4" i="2" s="1"/>
  <c r="K4" i="2"/>
  <c r="L3" i="2"/>
  <c r="M3" i="2" s="1"/>
  <c r="K3" i="2"/>
  <c r="I12" i="4" l="1"/>
  <c r="K7" i="4"/>
  <c r="J12" i="4"/>
  <c r="K12" i="4"/>
  <c r="K9" i="2"/>
  <c r="J3" i="3"/>
  <c r="J37" i="3" s="1"/>
  <c r="I37" i="3"/>
  <c r="H37" i="3"/>
  <c r="J4" i="6"/>
  <c r="J18" i="6" s="1"/>
  <c r="I18" i="6"/>
  <c r="H18" i="6"/>
  <c r="M9" i="2"/>
  <c r="L9" i="2"/>
  <c r="I21" i="12"/>
  <c r="I3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<sst xmlns="http://schemas.openxmlformats.org/spreadsheetml/2006/main" count="1346" uniqueCount="780">
  <si>
    <t>Prairie Hill Village</t>
  </si>
  <si>
    <t>1850 W Pine St #___  Baraboo, WI 53913</t>
  </si>
  <si>
    <t>1850 W Pine St #Baraboo53913</t>
  </si>
  <si>
    <t>Apt. #</t>
  </si>
  <si>
    <t>Rooms</t>
  </si>
  <si>
    <t>Capacity</t>
  </si>
  <si>
    <t>Bed 1-MR</t>
  </si>
  <si>
    <t>Bed 2-B</t>
  </si>
  <si>
    <t>Room In use = 1          Empty = 0</t>
  </si>
  <si>
    <t>Occupied Beds</t>
  </si>
  <si>
    <t>Beds Available</t>
  </si>
  <si>
    <t>Shifts</t>
  </si>
  <si>
    <t>EE per Shift</t>
  </si>
  <si>
    <t>Eladio Ramos Jr</t>
  </si>
  <si>
    <t>Pedro Garcia</t>
  </si>
  <si>
    <t>#BFBFBF</t>
  </si>
  <si>
    <t>2nd - 2pm to midnight</t>
  </si>
  <si>
    <t>Lawrence Cortez</t>
  </si>
  <si>
    <t>Jonathan Ariola</t>
  </si>
  <si>
    <t>was                     in 812</t>
  </si>
  <si>
    <t>#F2F2F2</t>
  </si>
  <si>
    <t>1st - 5am to 2pm</t>
  </si>
  <si>
    <t>Carlos Galvez Garcia</t>
  </si>
  <si>
    <t>Carlos Galvez</t>
  </si>
  <si>
    <t>Jacob Zepeda</t>
  </si>
  <si>
    <t>Bed1 or 2</t>
  </si>
  <si>
    <t>Name of EE that move OUT</t>
  </si>
  <si>
    <t>Last day at the housing</t>
  </si>
  <si>
    <t>Name of EE that move IN</t>
  </si>
  <si>
    <t>Move In day</t>
  </si>
  <si>
    <t>Alexander A Marrero</t>
  </si>
  <si>
    <t>Xavior R Robinson</t>
  </si>
  <si>
    <t>Alexander</t>
  </si>
  <si>
    <t>Alexis Perez</t>
  </si>
  <si>
    <t>Dorian Kyles</t>
  </si>
  <si>
    <t>ALEXANDER A MARRERO</t>
  </si>
  <si>
    <t>Moices Bernal</t>
  </si>
  <si>
    <t>Gabriel   Romero</t>
  </si>
  <si>
    <t>Ricco Antonio</t>
  </si>
  <si>
    <t>ALEXIS PEREZ</t>
  </si>
  <si>
    <t>Jacob C Ferguson</t>
  </si>
  <si>
    <t>Abein Flores</t>
  </si>
  <si>
    <t>Jose Castro</t>
  </si>
  <si>
    <t>Dorian   Kyles</t>
  </si>
  <si>
    <t xml:space="preserve">Antonio Hernandez </t>
  </si>
  <si>
    <t>Ismael Meza</t>
  </si>
  <si>
    <t>was                      in 509</t>
  </si>
  <si>
    <t>was                       in 510</t>
  </si>
  <si>
    <t>wrong              room</t>
  </si>
  <si>
    <t>Moices   Bernal</t>
  </si>
  <si>
    <t>CARLOS PEREZ</t>
  </si>
  <si>
    <t>m</t>
  </si>
  <si>
    <t>JOSE ALVARADO GOMEZ</t>
  </si>
  <si>
    <t>S7559 US Highway 12 Lot N 08 North Freedom, WI 53951</t>
  </si>
  <si>
    <t>Totals</t>
  </si>
  <si>
    <t>Ricco Antonio Lorenzana</t>
  </si>
  <si>
    <t>JOSE CISNEROS</t>
  </si>
  <si>
    <t>JUAN SOLITAIRE</t>
  </si>
  <si>
    <t>244 12th St Apt 907 Prairie Du Sac, WI - 53578</t>
  </si>
  <si>
    <t>ROBERT VILLANUEVA</t>
  </si>
  <si>
    <t>Transportation - Night</t>
  </si>
  <si>
    <t>Transportation - DAY</t>
  </si>
  <si>
    <t>TYLER GUERRERO</t>
  </si>
  <si>
    <t>Claudio Alvarado</t>
  </si>
  <si>
    <t>Juan Lozada Lugo</t>
  </si>
  <si>
    <t>… missing one person…</t>
  </si>
  <si>
    <t>MV - DRIVER</t>
  </si>
  <si>
    <t>Unit</t>
  </si>
  <si>
    <t>Move Out</t>
  </si>
  <si>
    <t>Date</t>
  </si>
  <si>
    <t>Owns a car - Night</t>
  </si>
  <si>
    <t>Plate</t>
  </si>
  <si>
    <t>Marca</t>
  </si>
  <si>
    <t>Modelo</t>
  </si>
  <si>
    <t>A~o</t>
  </si>
  <si>
    <t>Color</t>
  </si>
  <si>
    <t>510 - 2</t>
  </si>
  <si>
    <t>JZS-6793</t>
  </si>
  <si>
    <t>Toyota</t>
  </si>
  <si>
    <t>Camry</t>
  </si>
  <si>
    <t>Red</t>
  </si>
  <si>
    <t>811 - 2</t>
  </si>
  <si>
    <t>Ricco A. Lorenzana</t>
  </si>
  <si>
    <t>012762A39</t>
  </si>
  <si>
    <t>Jeep</t>
  </si>
  <si>
    <t>Cherokee</t>
  </si>
  <si>
    <t>orange</t>
  </si>
  <si>
    <t>BBS-8671</t>
  </si>
  <si>
    <t>Chevrolet</t>
  </si>
  <si>
    <t>Cruze</t>
  </si>
  <si>
    <t>BCB-2504</t>
  </si>
  <si>
    <t xml:space="preserve">Volkswagen </t>
  </si>
  <si>
    <t>Passat</t>
  </si>
  <si>
    <t>White</t>
  </si>
  <si>
    <t>BAF-7626</t>
  </si>
  <si>
    <t xml:space="preserve">Chevrolet </t>
  </si>
  <si>
    <t>Gray</t>
  </si>
  <si>
    <t>BCE1187</t>
  </si>
  <si>
    <t>Impala</t>
  </si>
  <si>
    <t>MOVE IN - 2026</t>
  </si>
  <si>
    <t>First day at housing</t>
  </si>
  <si>
    <t>MOVE OUT - 2026</t>
  </si>
  <si>
    <t>Last day at housing</t>
  </si>
  <si>
    <t>MOVE IN</t>
  </si>
  <si>
    <t>MOVE OUT</t>
  </si>
  <si>
    <t>Bedrooms</t>
  </si>
  <si>
    <t>Bedroom #</t>
  </si>
  <si>
    <t>Persona 1</t>
  </si>
  <si>
    <t>Persona 2</t>
  </si>
  <si>
    <t>Wilber Barrientos</t>
  </si>
  <si>
    <t>327 E. Bloomfield St, Apt 4, Rome, NY 13440</t>
  </si>
  <si>
    <t>327 - 4</t>
  </si>
  <si>
    <t>4/17/2026 to 4/30/2027</t>
  </si>
  <si>
    <t>Paul L Jackson</t>
  </si>
  <si>
    <t>George  Cardoso</t>
  </si>
  <si>
    <t>414 E. Bloomfield St, Apt 3, Rome, NY 13440</t>
  </si>
  <si>
    <t>414 - 3</t>
  </si>
  <si>
    <t>Kristian W Ordiales</t>
  </si>
  <si>
    <t>512 E. Bloomfield St, Apt 3, Rome, NY 13440</t>
  </si>
  <si>
    <t>512 - 3</t>
  </si>
  <si>
    <t>522 E. Bloomfield St, Apt 3, Rome, NY 13440</t>
  </si>
  <si>
    <t>522 - 3</t>
  </si>
  <si>
    <t>5/15/2026 to 5/31/2027</t>
  </si>
  <si>
    <t>318 E. Bloomfield St, Apt 4, Rome, NY 13440</t>
  </si>
  <si>
    <t>318 - 4</t>
  </si>
  <si>
    <t>322 E. Bloomfield St, Apt 2, Rome, NY 13440</t>
  </si>
  <si>
    <t>322 - 2</t>
  </si>
  <si>
    <t>329 E. Bloomfield St, Apt 4, Rome, NY 13440</t>
  </si>
  <si>
    <t>329 - 4</t>
  </si>
  <si>
    <t>600 W Hickory St. Apt ___GilmanWI54433</t>
  </si>
  <si>
    <t>Person 1</t>
  </si>
  <si>
    <t>Person 2</t>
  </si>
  <si>
    <t>Person 3</t>
  </si>
  <si>
    <t>Person 4</t>
  </si>
  <si>
    <t>Job Abandonment</t>
  </si>
  <si>
    <t>Last Date at Housing</t>
  </si>
  <si>
    <t>Jesus Lira</t>
  </si>
  <si>
    <t>Gilberto Lara</t>
  </si>
  <si>
    <t>Cody Harris</t>
  </si>
  <si>
    <t>AVU-4855      In-2:30pm</t>
  </si>
  <si>
    <t>Dustin Laslie</t>
  </si>
  <si>
    <t>Andrew Castaneda</t>
  </si>
  <si>
    <t>Dennis Jordan</t>
  </si>
  <si>
    <t>ISAIAH H YOUNG</t>
  </si>
  <si>
    <t>0-Studio</t>
  </si>
  <si>
    <t>Martin Hust</t>
  </si>
  <si>
    <t>JACOB M NOVAK</t>
  </si>
  <si>
    <t>Isaiah Young</t>
  </si>
  <si>
    <t>Jacob Novak</t>
  </si>
  <si>
    <t>MARTIN L HUST</t>
  </si>
  <si>
    <t>Sterlin Adams</t>
  </si>
  <si>
    <t>STERLIN C ADAMS</t>
  </si>
  <si>
    <t>14500 34th Ave N Apt. 118 Plymouth, MN 55447</t>
  </si>
  <si>
    <t>JULIO ORGONEZ</t>
  </si>
  <si>
    <t>RAYMUNDO LEIJA</t>
  </si>
  <si>
    <t>ETHAN DAVIS</t>
  </si>
  <si>
    <t>14600 34th Ave N Apt. 127 Plymouth, MN 55447</t>
  </si>
  <si>
    <t>ALFRED A BESERRA</t>
  </si>
  <si>
    <t>DAVID DAVIS</t>
  </si>
  <si>
    <t>ERASMO GARZA</t>
  </si>
  <si>
    <t>14600 34th Ave N Apt. 315 Plymouth, MN 55447</t>
  </si>
  <si>
    <t>ABEL A GUZMAN</t>
  </si>
  <si>
    <t>LUIS RODRIGUEZ RIVERA</t>
  </si>
  <si>
    <t>NICHOLAS R FRANKLIN</t>
  </si>
  <si>
    <t>14600 34th Ave N Apt. 342 Plymouth, MN 55447</t>
  </si>
  <si>
    <t>JOSE MOLINA</t>
  </si>
  <si>
    <t>MARCOS ANTONIO LARA</t>
  </si>
  <si>
    <t>JORDAN TORRES</t>
  </si>
  <si>
    <t>14605 34th Ave N Apt. 201 Plymouth, MN 55447</t>
  </si>
  <si>
    <t>EVARADO DELGADO</t>
  </si>
  <si>
    <t>JONATHAN REYNOSA</t>
  </si>
  <si>
    <t>SEBASTIAN VILLARREAL</t>
  </si>
  <si>
    <t>TYREK J PATTERSON</t>
  </si>
  <si>
    <t>14605 34th Ave N Apt. 218 Plymouth, MN 55447</t>
  </si>
  <si>
    <t>EDUARDO CAMPOS</t>
  </si>
  <si>
    <t>GABRIEL J WOMACK</t>
  </si>
  <si>
    <t>GILBERT BUSTOS JR</t>
  </si>
  <si>
    <t>JUSTIN DEANGELIS</t>
  </si>
  <si>
    <t>Employee</t>
  </si>
  <si>
    <t>Column1</t>
  </si>
  <si>
    <t>Column2</t>
  </si>
  <si>
    <t>Email Address</t>
  </si>
  <si>
    <t>Phone</t>
  </si>
  <si>
    <t>Start Date</t>
  </si>
  <si>
    <t>Shift</t>
  </si>
  <si>
    <t>si</t>
  </si>
  <si>
    <t>lopezvelascodiego677@gmail.com</t>
  </si>
  <si>
    <t>11/28/2023</t>
  </si>
  <si>
    <t>7:00AM - 5:00PM | 7 AM Shift</t>
  </si>
  <si>
    <t>antizj99@gmail.com</t>
  </si>
  <si>
    <t>2606992143</t>
  </si>
  <si>
    <t>03/18/2024</t>
  </si>
  <si>
    <t>brayansantizperez5@gmail.com</t>
  </si>
  <si>
    <t>ap4393874@gmail.com</t>
  </si>
  <si>
    <t>5174622843</t>
  </si>
  <si>
    <t>10/22/2025</t>
  </si>
  <si>
    <t>3:00PM - 1:00AM | 3 PM Shift</t>
  </si>
  <si>
    <t>angeljoangonzales23@gmail.com</t>
  </si>
  <si>
    <t>12/04/2023</t>
  </si>
  <si>
    <t/>
  </si>
  <si>
    <t>j8302011@gmail.com</t>
  </si>
  <si>
    <t>6124966871</t>
  </si>
  <si>
    <t>everadodelgado337@gmail.com</t>
  </si>
  <si>
    <t>02/17/2025</t>
  </si>
  <si>
    <t>1:00PM - 11:00PM | 1 PM Shift</t>
  </si>
  <si>
    <t>jonathanreynosa274@gmail.com</t>
  </si>
  <si>
    <t>5176172253</t>
  </si>
  <si>
    <t>08/12/2024</t>
  </si>
  <si>
    <t>Sebastianvillarreal648@gmail.com</t>
  </si>
  <si>
    <t>9565381058</t>
  </si>
  <si>
    <t>04/20/2026</t>
  </si>
  <si>
    <t>tyrekpatterson1@icloud.com</t>
  </si>
  <si>
    <t>6124020403</t>
  </si>
  <si>
    <t>12/16/2025</t>
  </si>
  <si>
    <t>toledojuliocesar410@gmail.com</t>
  </si>
  <si>
    <t>9523032795</t>
  </si>
  <si>
    <t>06/24/2024</t>
  </si>
  <si>
    <t>gabriel5518m@gmail.com</t>
  </si>
  <si>
    <t>6124621127</t>
  </si>
  <si>
    <t>03/31/2026</t>
  </si>
  <si>
    <t>Gerahernandez406@gmail.com</t>
  </si>
  <si>
    <t>02/28/2024</t>
  </si>
  <si>
    <t>justindeangelis7@gmail.com</t>
  </si>
  <si>
    <t>abeladrianguzman6@gmail.com</t>
  </si>
  <si>
    <t>1:30PM - 12:00AM | 2nd Metal Fab</t>
  </si>
  <si>
    <t>o4557597@gmail.com</t>
  </si>
  <si>
    <t>ep5183976@gmail.com</t>
  </si>
  <si>
    <t>08/05/2025</t>
  </si>
  <si>
    <t>fausslopez2@gmail.com</t>
  </si>
  <si>
    <t>6126152080</t>
  </si>
  <si>
    <t>08/07/2023</t>
  </si>
  <si>
    <t>timoteo.hernandez2@icloud.com</t>
  </si>
  <si>
    <t>342…</t>
  </si>
  <si>
    <t>jg7451278@gmail.com</t>
  </si>
  <si>
    <t>3193208687</t>
  </si>
  <si>
    <t>ANDDY  RAMIREZ PEDRAZA</t>
  </si>
  <si>
    <t>no</t>
  </si>
  <si>
    <t>N/A</t>
  </si>
  <si>
    <t>elvincastillo353@gmail.com</t>
  </si>
  <si>
    <t>6088003351</t>
  </si>
  <si>
    <t>12/08/2025</t>
  </si>
  <si>
    <t>ANGEL SALAZAR</t>
  </si>
  <si>
    <t>umtz1116@gmail.com</t>
  </si>
  <si>
    <t>5634190773</t>
  </si>
  <si>
    <t>06/10/2024</t>
  </si>
  <si>
    <t>BENJAMIN RODRIGUEZ GONZALEZ</t>
  </si>
  <si>
    <t>rodriguezbengie8@gmail.com</t>
  </si>
  <si>
    <t>9393754199</t>
  </si>
  <si>
    <t>06/18/2025</t>
  </si>
  <si>
    <t>CARLOS BELTRAN</t>
  </si>
  <si>
    <t>beltrancarlos09112003@gmail.com</t>
  </si>
  <si>
    <t>6516275605</t>
  </si>
  <si>
    <t>09/22/2025</t>
  </si>
  <si>
    <t>ISSAC R CASAREZ</t>
  </si>
  <si>
    <t>asteca30@icloud.com</t>
  </si>
  <si>
    <t>5747327371</t>
  </si>
  <si>
    <t>03/03/2026</t>
  </si>
  <si>
    <t>5:00AM - 3:00PM | 5 AM Shift</t>
  </si>
  <si>
    <t>JASMINE RODRIGUEZ</t>
  </si>
  <si>
    <t>yoseflagos1004@gmail.com</t>
  </si>
  <si>
    <t>9522629407</t>
  </si>
  <si>
    <t>02/03/2025</t>
  </si>
  <si>
    <t>JHONNY A FLORES HOYES</t>
  </si>
  <si>
    <t>jeldersiles5@gmail.com</t>
  </si>
  <si>
    <t>5152405478</t>
  </si>
  <si>
    <t>02/16/2026</t>
  </si>
  <si>
    <t>LUIS VEGA VELEZ</t>
  </si>
  <si>
    <t>eldercastillo693@gmail.com</t>
  </si>
  <si>
    <t>6123915296</t>
  </si>
  <si>
    <t>PEDRO GLORCA JR</t>
  </si>
  <si>
    <t>pedroglorca38@gmail.com</t>
  </si>
  <si>
    <t>5632179319</t>
  </si>
  <si>
    <t>02/02/2026</t>
  </si>
  <si>
    <t>REUBEN ALVAREZ</t>
  </si>
  <si>
    <t>samuelgamez376@gmail.com</t>
  </si>
  <si>
    <t>5637942212</t>
  </si>
  <si>
    <t>***Different address***</t>
  </si>
  <si>
    <t>Address</t>
  </si>
  <si>
    <t>1331 S 8th Ave Apt 200 Wausau, WI 54401</t>
  </si>
  <si>
    <t>COLE C HAYEK</t>
  </si>
  <si>
    <t>ERIN B MILLER</t>
  </si>
  <si>
    <t>William Johnson</t>
  </si>
  <si>
    <t>JOSHUA B ALLEN</t>
  </si>
  <si>
    <t>JULIAN T LEWIS</t>
  </si>
  <si>
    <t>ELIJAH PATTERSON</t>
  </si>
  <si>
    <t>1341 S 8th Ave Apt 108 Wausau, WI 54401</t>
  </si>
  <si>
    <t>Giovanni</t>
  </si>
  <si>
    <t>Jaylon</t>
  </si>
  <si>
    <t>5/1 to 10/31 - $1,410</t>
  </si>
  <si>
    <t>Marquis</t>
  </si>
  <si>
    <t>Empleado</t>
  </si>
  <si>
    <t>Correo electronico</t>
  </si>
  <si>
    <t>Número de teléfono del empleado</t>
  </si>
  <si>
    <t>Fecha de inicio</t>
  </si>
  <si>
    <t>Turno</t>
  </si>
  <si>
    <t>colehayek82@gmail.com</t>
  </si>
  <si>
    <t>5079775522</t>
  </si>
  <si>
    <t>03/30/2026</t>
  </si>
  <si>
    <t>5-3 1st Shift</t>
  </si>
  <si>
    <t>avewisconsin@gmail.com</t>
  </si>
  <si>
    <t>5342469295</t>
  </si>
  <si>
    <t>erin11685@gmail.com</t>
  </si>
  <si>
    <t>5079777382</t>
  </si>
  <si>
    <t>joshuaburlinallen@gmail.com</t>
  </si>
  <si>
    <t>2696890027</t>
  </si>
  <si>
    <t>industrialwi812@gmail.com</t>
  </si>
  <si>
    <t>5342469296</t>
  </si>
  <si>
    <t>2900 New Pinery Rd Portage, WI 53901</t>
  </si>
  <si>
    <t>#</t>
  </si>
  <si>
    <t>Room #</t>
  </si>
  <si>
    <t>CD</t>
  </si>
  <si>
    <t>Bed #1 - Door</t>
  </si>
  <si>
    <t>Bed #2 - Window</t>
  </si>
  <si>
    <t>Room</t>
  </si>
  <si>
    <t>Evian D Napier - P7</t>
  </si>
  <si>
    <t>John Aguero - P7</t>
  </si>
  <si>
    <t>Luis Ruiz -T4</t>
  </si>
  <si>
    <t>Bucky Lee Gonzalez -T4</t>
  </si>
  <si>
    <t>Andrew Granville - P6</t>
  </si>
  <si>
    <t>Esdras N Lopez - P7</t>
  </si>
  <si>
    <t>Alfonzo Deray Tucker- P7</t>
  </si>
  <si>
    <t>Justin R Hernandez - P7</t>
  </si>
  <si>
    <t>Christopher M Tuttle -T7</t>
  </si>
  <si>
    <t>4/22/26-called-doesn’t know when he left</t>
  </si>
  <si>
    <t>Jasmine Arce -T4</t>
  </si>
  <si>
    <t>Zabdi X Rodriguez - P6</t>
  </si>
  <si>
    <t>John Tyler Clark - P6</t>
  </si>
  <si>
    <t>Michael B. Felix-T7</t>
  </si>
  <si>
    <t>Christian  Hunter-T5</t>
  </si>
  <si>
    <t>Joshua L Ritch-T5</t>
  </si>
  <si>
    <t>Jordan T. Smith-T7</t>
  </si>
  <si>
    <t>Elijah Lee-T7</t>
  </si>
  <si>
    <t>Christopher Lauderdale-T5</t>
  </si>
  <si>
    <t>Trey Grant-T7</t>
  </si>
  <si>
    <t>Victoria Brannon-T7</t>
  </si>
  <si>
    <t>Brandon Hudson- P5</t>
  </si>
  <si>
    <t>Jonathan P Wheeler - T5</t>
  </si>
  <si>
    <t xml:space="preserve">Cody Troy Smith - T5 </t>
  </si>
  <si>
    <t>Emory L. Lewis- P5</t>
  </si>
  <si>
    <t>RICKY ARGUELLES-T5</t>
  </si>
  <si>
    <t>CEDRIC T LEE-T7</t>
  </si>
  <si>
    <t>Christian Lee Richardson-T5</t>
  </si>
  <si>
    <t>Derwin B. Williams- P5</t>
  </si>
  <si>
    <t>Dulce Ascencio (P5-8)-Noche</t>
  </si>
  <si>
    <t>Jeremy W Ellis - P5</t>
  </si>
  <si>
    <t>Erick F Garcia - P5</t>
  </si>
  <si>
    <t>Claudia Villalobos - P5</t>
  </si>
  <si>
    <t>Jonathan Wheeler - T5</t>
  </si>
  <si>
    <t>Cody Smith - T5</t>
  </si>
  <si>
    <t>Line 6 (Room 134)</t>
  </si>
  <si>
    <t>Line 9 (Room 149)</t>
  </si>
  <si>
    <t>Sundays:</t>
  </si>
  <si>
    <t>Line 10 (Room 242)</t>
  </si>
  <si>
    <t>Line 13 (Room 247)</t>
  </si>
  <si>
    <t>Line 3 (Room 248)</t>
  </si>
  <si>
    <t>#Tenant</t>
  </si>
  <si>
    <t>Bed 1</t>
  </si>
  <si>
    <t>Bed 2</t>
  </si>
  <si>
    <t xml:space="preserve">Bed  3 </t>
  </si>
  <si>
    <t>Bed 4</t>
  </si>
  <si>
    <t>Bed 5</t>
  </si>
  <si>
    <t>Bed 6</t>
  </si>
  <si>
    <t>2108 Chateau Knoll Bettendorf, IA 52722</t>
  </si>
  <si>
    <t>Gage C. Moody</t>
  </si>
  <si>
    <t>Richard M. Anthony</t>
  </si>
  <si>
    <t>Victor A. Valenzuela</t>
  </si>
  <si>
    <t>JACOB DAVID VARNEY</t>
  </si>
  <si>
    <t>3512 Chateau Knls, Bettendorf, IA 52722</t>
  </si>
  <si>
    <t>Jose Angulo</t>
  </si>
  <si>
    <t>Aaron Collins</t>
  </si>
  <si>
    <t>3524 Chateau Knoll Bettendorf, IA 52722</t>
  </si>
  <si>
    <t xml:space="preserve">Branden Gonzalez </t>
  </si>
  <si>
    <t>3604 Chateau Knoll Bettendorf, IA 52722</t>
  </si>
  <si>
    <t xml:space="preserve">Gabriel Clark </t>
  </si>
  <si>
    <t>Gabriel Shamam</t>
  </si>
  <si>
    <t>Christopher de la Rosa</t>
  </si>
  <si>
    <t>1407 Chateau Knoll Bettendorf, IA 52722</t>
  </si>
  <si>
    <t>Jaylon Clark</t>
  </si>
  <si>
    <t>Marquis Sanders</t>
  </si>
  <si>
    <t>Jacoby Chenevert</t>
  </si>
  <si>
    <t>Giovanni Alexander</t>
  </si>
  <si>
    <t>RICHARD M. ANTHONY FULLER</t>
  </si>
  <si>
    <t>1506 Chateau Knoll Bettendorf, IA 52722</t>
  </si>
  <si>
    <t>Tanner Langford</t>
  </si>
  <si>
    <t>Jacob Varney</t>
  </si>
  <si>
    <t>DANNY KING</t>
  </si>
  <si>
    <t>EDUARDO ALVAREZ</t>
  </si>
  <si>
    <t>JUAN F SALAZAR</t>
  </si>
  <si>
    <t>APT</t>
  </si>
  <si>
    <t>Gabriel Clark</t>
  </si>
  <si>
    <t>AARON J COLLINS</t>
  </si>
  <si>
    <t>a47306617james@gmail.com</t>
  </si>
  <si>
    <t>2605578061</t>
  </si>
  <si>
    <t>01/26/2026</t>
  </si>
  <si>
    <t>Jalen Gordon</t>
  </si>
  <si>
    <t>BRANDEN GONZALEZ</t>
  </si>
  <si>
    <t>flacoch1623@gmail.com</t>
  </si>
  <si>
    <t>4175942785</t>
  </si>
  <si>
    <t>Devin Holly</t>
  </si>
  <si>
    <t>BRANDON TILTON</t>
  </si>
  <si>
    <t>meltonjoshua77@gmail.com</t>
  </si>
  <si>
    <t>2607506458</t>
  </si>
  <si>
    <t>Brandon Tilton</t>
  </si>
  <si>
    <t>CHRISTOPHER AARON DELAROSA</t>
  </si>
  <si>
    <t>albertogarcia7744@gmail.com</t>
  </si>
  <si>
    <t>7853422951</t>
  </si>
  <si>
    <t>DEVIN F HOLLY</t>
  </si>
  <si>
    <t>eribertogarcia384@gmail.com</t>
  </si>
  <si>
    <t>9123476431</t>
  </si>
  <si>
    <t>GABRIEL A CLARK</t>
  </si>
  <si>
    <t>juliolopezcom08@gmail.com</t>
  </si>
  <si>
    <t>7344696734</t>
  </si>
  <si>
    <t>GABRIEL C SHAMAM</t>
  </si>
  <si>
    <t>lobolop3@gmail.com</t>
  </si>
  <si>
    <t>7344690277</t>
  </si>
  <si>
    <t>JALEN L GORDON</t>
  </si>
  <si>
    <t>jalenlgordon061@gmail.com</t>
  </si>
  <si>
    <t>2605578097</t>
  </si>
  <si>
    <t>lindo1234abc@gmail.com</t>
  </si>
  <si>
    <t>7344602526</t>
  </si>
  <si>
    <t>03/11/2026</t>
  </si>
  <si>
    <t>mh5436331@gmail.com</t>
  </si>
  <si>
    <t>2566369734</t>
  </si>
  <si>
    <t>olintoo448@gmail.com</t>
  </si>
  <si>
    <t>5291917319</t>
  </si>
  <si>
    <t>GIOVANNI O. LYNN ALEXANDER</t>
  </si>
  <si>
    <t>alexander.giovanni@yahoo.com</t>
  </si>
  <si>
    <t>2815158132</t>
  </si>
  <si>
    <t>jvarney0702@gmail.com</t>
  </si>
  <si>
    <t>9793658465</t>
  </si>
  <si>
    <t>JACOBY CHENEVERT</t>
  </si>
  <si>
    <t>Chenjaco3989@gmail.com</t>
  </si>
  <si>
    <t>JAYLON MARQUAN CLARK</t>
  </si>
  <si>
    <t>Jaylonclark480@gmail.com</t>
  </si>
  <si>
    <t>MARQUIS JAMEL SANDERS</t>
  </si>
  <si>
    <t>Sanders4bussiness@gmail.com</t>
  </si>
  <si>
    <t>TANNER JAMES WILLIAM LANGFORD</t>
  </si>
  <si>
    <t>cdb_tj23@icloud.com</t>
  </si>
  <si>
    <t>9133989191</t>
  </si>
  <si>
    <t>GAGE COREY MOODY</t>
  </si>
  <si>
    <t>gagemoody23@gmail.com</t>
  </si>
  <si>
    <t>3468608196</t>
  </si>
  <si>
    <t>04/08/2026</t>
  </si>
  <si>
    <t>RICHARD MICHAEL ANTHONY FULLER</t>
  </si>
  <si>
    <t>Richardfuller597@gmail.com</t>
  </si>
  <si>
    <t>8324399479</t>
  </si>
  <si>
    <t>VICTOR ALFONSO VALENZUELA ESPINOZA</t>
  </si>
  <si>
    <t>vad170921@gmail.com</t>
  </si>
  <si>
    <t>9563745878</t>
  </si>
  <si>
    <t>Jose Angulo - Driver</t>
  </si>
  <si>
    <t>Last day</t>
  </si>
  <si>
    <t>918 Zimmer Hill Rd Apt __ Mckeesport, PA - 15135</t>
  </si>
  <si>
    <t>Room 1/ Cuarto 1</t>
  </si>
  <si>
    <t>Room 2/ Cuarto 2</t>
  </si>
  <si>
    <t>Persona 3</t>
  </si>
  <si>
    <t>Jerry Rivas</t>
  </si>
  <si>
    <t>Andres Gallegos</t>
  </si>
  <si>
    <t>Timothy Murphy</t>
  </si>
  <si>
    <t>Harold Covington</t>
  </si>
  <si>
    <t>Lucas J Young</t>
  </si>
  <si>
    <t>Xavier Aaron Addison</t>
  </si>
  <si>
    <t xml:space="preserve">Justin Martinez </t>
  </si>
  <si>
    <t xml:space="preserve">Derrick Black </t>
  </si>
  <si>
    <t>Robert Bradford</t>
  </si>
  <si>
    <t>Rolando Rene Avitia</t>
  </si>
  <si>
    <t>Tony Perry</t>
  </si>
  <si>
    <t xml:space="preserve">Christopher Hill </t>
  </si>
  <si>
    <t>Tyler Smith</t>
  </si>
  <si>
    <t>Jared Lemert</t>
  </si>
  <si>
    <t>Benjamin  Zacatzontle</t>
  </si>
  <si>
    <t xml:space="preserve">Mandrell Coretz </t>
  </si>
  <si>
    <t>Joy Doran</t>
  </si>
  <si>
    <t>Richard Balderas</t>
  </si>
  <si>
    <t>Michael J Wilson</t>
  </si>
  <si>
    <t>Jaime Alvarado</t>
  </si>
  <si>
    <t>Christian Decuire</t>
  </si>
  <si>
    <t>Sam Houston</t>
  </si>
  <si>
    <t>Christopher Hopson</t>
  </si>
  <si>
    <t>Timothy Rouse</t>
  </si>
  <si>
    <t xml:space="preserve">Jacob Mullinax </t>
  </si>
  <si>
    <t xml:space="preserve">Richard Russell </t>
  </si>
  <si>
    <t>ANDRES GALLEGOS</t>
  </si>
  <si>
    <t>andres_gallegos78520@yahoo.com</t>
  </si>
  <si>
    <t>9564317617</t>
  </si>
  <si>
    <t>03/23/2026</t>
  </si>
  <si>
    <t>CHRISTIAN M DECUIRE</t>
  </si>
  <si>
    <t>franciscohernandezdz3210@gmail.com</t>
  </si>
  <si>
    <t>12/03/2025</t>
  </si>
  <si>
    <t>CHRISTOPHER D HOPSON</t>
  </si>
  <si>
    <t>hopsonchristopherd@gmail.com</t>
  </si>
  <si>
    <t>03/26/2026</t>
  </si>
  <si>
    <t xml:space="preserve">Jeffrey Jackson </t>
  </si>
  <si>
    <t>CHRISTOPHER HILL</t>
  </si>
  <si>
    <t>X</t>
  </si>
  <si>
    <t>fgonzales03@icloud.com</t>
  </si>
  <si>
    <t>9125487136</t>
  </si>
  <si>
    <t>11/10/2025</t>
  </si>
  <si>
    <t>KOSSIVI BEDZRA</t>
  </si>
  <si>
    <t>DERRICK L BLACK</t>
  </si>
  <si>
    <t>jesusdavidperezgomez85@gmail.com</t>
  </si>
  <si>
    <t>2603196215</t>
  </si>
  <si>
    <t>HAROLD COVINGTON</t>
  </si>
  <si>
    <t>junio.vale32@gmail.com</t>
  </si>
  <si>
    <t>6167965148</t>
  </si>
  <si>
    <t>12/29/2025</t>
  </si>
  <si>
    <t>JACOB MULLINAX</t>
  </si>
  <si>
    <t>jmullinax313@gmail.com</t>
  </si>
  <si>
    <t>3158134658</t>
  </si>
  <si>
    <t>JAIME ALVARADO</t>
  </si>
  <si>
    <t>albaradojaime438@gmail.com</t>
  </si>
  <si>
    <t>5743973919</t>
  </si>
  <si>
    <t>JARED LEMERT</t>
  </si>
  <si>
    <t>juancarlopz1704@gmail.com</t>
  </si>
  <si>
    <t>2569494578</t>
  </si>
  <si>
    <t>JOY DORAN</t>
  </si>
  <si>
    <t>doranjoy991@gmail.com</t>
  </si>
  <si>
    <t>9122783847</t>
  </si>
  <si>
    <t>12/02/2024</t>
  </si>
  <si>
    <t>JUSTIN MARTINEZ</t>
  </si>
  <si>
    <t>jm9835682@gmail.com</t>
  </si>
  <si>
    <t>8782902895</t>
  </si>
  <si>
    <t>01/06/2025</t>
  </si>
  <si>
    <t>MANDRELL CORTEZ</t>
  </si>
  <si>
    <t>mandrellcortez36@gmail.com</t>
  </si>
  <si>
    <t>3152759350</t>
  </si>
  <si>
    <t>RICHARD BALDERAS</t>
  </si>
  <si>
    <t>D</t>
  </si>
  <si>
    <t>rsbalderas18@gmail.com</t>
  </si>
  <si>
    <t>9796330649</t>
  </si>
  <si>
    <t>03/05/2026</t>
  </si>
  <si>
    <t>RICHARD R RUSSELL</t>
  </si>
  <si>
    <t>vs7141998@gmail.com</t>
  </si>
  <si>
    <t>3094595332</t>
  </si>
  <si>
    <t>ROBERT BRADFORD</t>
  </si>
  <si>
    <t>azzz1234567890.lopez@gmail.com</t>
  </si>
  <si>
    <t>2244787536</t>
  </si>
  <si>
    <t>SAM D HOUSTON</t>
  </si>
  <si>
    <t>ruizdiazpedro534@gmail.com</t>
  </si>
  <si>
    <t>TIMOTHY MURPHY</t>
  </si>
  <si>
    <t>p3547256@gmail.com</t>
  </si>
  <si>
    <t>8105424749</t>
  </si>
  <si>
    <t>TIMOTHY N ROUSE</t>
  </si>
  <si>
    <t>nrousetimothy@gmail.com</t>
  </si>
  <si>
    <t>3153678825</t>
  </si>
  <si>
    <t>TONY A PERRY</t>
  </si>
  <si>
    <t>aperrytony39@gmail.com</t>
  </si>
  <si>
    <t>5743975814</t>
  </si>
  <si>
    <t>TYLER SMITH</t>
  </si>
  <si>
    <t>smithztyler5@gmail.com</t>
  </si>
  <si>
    <t>5743973031</t>
  </si>
  <si>
    <t>Shuster's - Richard Balderas</t>
  </si>
  <si>
    <t>Shuster's - 12 cap</t>
  </si>
  <si>
    <t>XE73518</t>
  </si>
  <si>
    <t xml:space="preserve">AXN2194   </t>
  </si>
  <si>
    <t xml:space="preserve">Room </t>
  </si>
  <si>
    <t>Room In use = 1                                      Empty = 0</t>
  </si>
  <si>
    <t>Occupied</t>
  </si>
  <si>
    <t>Capacity Available</t>
  </si>
  <si>
    <t>Freederick</t>
  </si>
  <si>
    <t>SIREN</t>
  </si>
  <si>
    <t>7666 South Shore Drive                  Siren, WI 54872</t>
  </si>
  <si>
    <t>Top-Apt #1-1</t>
  </si>
  <si>
    <t>Andres Ayala</t>
  </si>
  <si>
    <t>Apt #1 - 2</t>
  </si>
  <si>
    <t>Apt #2 - 1 - St</t>
  </si>
  <si>
    <t>Felix A. Baez Caballero</t>
  </si>
  <si>
    <t>Orlando Moreno</t>
  </si>
  <si>
    <t>Apt#2- 2 - St</t>
  </si>
  <si>
    <t>Ricardo Mondragon</t>
  </si>
  <si>
    <t>Luis E Ceballos Martinez - Basement</t>
  </si>
  <si>
    <t>Apt #3 - 1</t>
  </si>
  <si>
    <t>Cory Banuelos</t>
  </si>
  <si>
    <t>Albert Garcia</t>
  </si>
  <si>
    <t>Apt#3  - 2</t>
  </si>
  <si>
    <t>Brandon Didonato</t>
  </si>
  <si>
    <t>Miguel Mata</t>
  </si>
  <si>
    <t>Basement</t>
  </si>
  <si>
    <t>Water</t>
  </si>
  <si>
    <t>WEBSTER</t>
  </si>
  <si>
    <t>7112 Zielsdorf Drive                   Webster, WI 54893</t>
  </si>
  <si>
    <t>West</t>
  </si>
  <si>
    <t>Willie A. Medina Jr</t>
  </si>
  <si>
    <t>Ramon Almeida Ruiz</t>
  </si>
  <si>
    <t>Cody S. Ogden</t>
  </si>
  <si>
    <t>Johnathan M. Reynolds</t>
  </si>
  <si>
    <t>East</t>
  </si>
  <si>
    <t>Jordan A. Sanders</t>
  </si>
  <si>
    <t>Jordan Doyle</t>
  </si>
  <si>
    <t>Fernando D. Reyes</t>
  </si>
  <si>
    <t>Gabriel M. Vega</t>
  </si>
  <si>
    <t>HINCKLEY</t>
  </si>
  <si>
    <t>7th St SE Apt. ___ Hinckley, MN 55037</t>
  </si>
  <si>
    <t>404 - 304</t>
  </si>
  <si>
    <t>Jayden Robertson</t>
  </si>
  <si>
    <t>Devin M. Law</t>
  </si>
  <si>
    <t>410 - 205</t>
  </si>
  <si>
    <t>410 - 304</t>
  </si>
  <si>
    <t>406 - 204</t>
  </si>
  <si>
    <t>7th St SE Apt. ___ Hincley, MN 55037</t>
  </si>
  <si>
    <t>406 - 205</t>
  </si>
  <si>
    <t>Felix Arroyo - KFI Sup.</t>
  </si>
  <si>
    <t>Isidro Guerrero</t>
  </si>
  <si>
    <t>406 - 302</t>
  </si>
  <si>
    <t>Jose Gallegos</t>
  </si>
  <si>
    <t>Devin …____________</t>
  </si>
  <si>
    <t>Luis A. Hernandez</t>
  </si>
  <si>
    <t>Frank Quinones</t>
  </si>
  <si>
    <t>Housing</t>
  </si>
  <si>
    <t>Apt #</t>
  </si>
  <si>
    <t>Siren</t>
  </si>
  <si>
    <t>velascotonio010@gmail.com</t>
  </si>
  <si>
    <t>9126130160</t>
  </si>
  <si>
    <t>7:00PM - 7:00AM | Night Shift</t>
  </si>
  <si>
    <t>02/10/2025</t>
  </si>
  <si>
    <t>mannyluna478@gmail.com</t>
  </si>
  <si>
    <t>8039002148</t>
  </si>
  <si>
    <t>09/19/2023</t>
  </si>
  <si>
    <t>Anthony C Shaverin</t>
  </si>
  <si>
    <t>Hinkley</t>
  </si>
  <si>
    <t>alejandrosantiz19981998@gmail.com</t>
  </si>
  <si>
    <t>2606011101</t>
  </si>
  <si>
    <t>7:00AM - 7:00PM | 12-hours day shift</t>
  </si>
  <si>
    <t>11/04/2025</t>
  </si>
  <si>
    <t>Anthony G Evans</t>
  </si>
  <si>
    <t>anthonygranhamevans@gmail.com</t>
  </si>
  <si>
    <t>2603812338</t>
  </si>
  <si>
    <t>3:00PM - 3:00AM | 2nd shift - 3PM</t>
  </si>
  <si>
    <t>04/02/2026</t>
  </si>
  <si>
    <t>Anthony Moore</t>
  </si>
  <si>
    <t>410 - 204</t>
  </si>
  <si>
    <t>camerino4566@icloud.com</t>
  </si>
  <si>
    <t>3192025069</t>
  </si>
  <si>
    <t xml:space="preserve">6:00AM - 3:30PM | 1st shift </t>
  </si>
  <si>
    <t>11/25/2025</t>
  </si>
  <si>
    <t>Arthur De La Rosa</t>
  </si>
  <si>
    <t>none</t>
  </si>
  <si>
    <t>lagosleonel28@gmail.com</t>
  </si>
  <si>
    <t>6086971320</t>
  </si>
  <si>
    <t>estabanh73@gmail.com</t>
  </si>
  <si>
    <t>3369899467</t>
  </si>
  <si>
    <t>02/13/2024</t>
  </si>
  <si>
    <t>Christian Frias</t>
  </si>
  <si>
    <t>alanssj276@gmail.com</t>
  </si>
  <si>
    <t>2603727886</t>
  </si>
  <si>
    <t>7:00PM - 7:00AM | 12-hours night shift</t>
  </si>
  <si>
    <t>10/02/2025</t>
  </si>
  <si>
    <t>Webster</t>
  </si>
  <si>
    <t>bp659370@gmail.com</t>
  </si>
  <si>
    <t>8282336446</t>
  </si>
  <si>
    <t>6:00AM - 4:00PM | 1st Shift - Rotational Da</t>
  </si>
  <si>
    <t>09/02/2025</t>
  </si>
  <si>
    <t>Colby Peters</t>
  </si>
  <si>
    <t>w58366189@gmail.com</t>
  </si>
  <si>
    <t>1765682216</t>
  </si>
  <si>
    <t>9:00PM - 6:30AM | 3rd shift - 9pm - 6:30am</t>
  </si>
  <si>
    <t>01/06/2026</t>
  </si>
  <si>
    <t>maxh4480@gmail.com</t>
  </si>
  <si>
    <t>2605089324</t>
  </si>
  <si>
    <t>luisgmz_04@icloud.com</t>
  </si>
  <si>
    <t>8653695459</t>
  </si>
  <si>
    <t>Devin R. Neal</t>
  </si>
  <si>
    <t>martinesmarbelito@gmail.com</t>
  </si>
  <si>
    <t>4843886048</t>
  </si>
  <si>
    <t>03/16/2026</t>
  </si>
  <si>
    <t>Elijah Davis</t>
  </si>
  <si>
    <t>andrezdiaz4035@gmail.com</t>
  </si>
  <si>
    <t>4424099761</t>
  </si>
  <si>
    <t>Eric D. Moore</t>
  </si>
  <si>
    <t>sh4429225@gmail.com</t>
  </si>
  <si>
    <t>2602826417</t>
  </si>
  <si>
    <t>fbaezcaballero22@gmail.com</t>
  </si>
  <si>
    <t>7873442616</t>
  </si>
  <si>
    <t>klever2289@icloud.com</t>
  </si>
  <si>
    <t>3158860984</t>
  </si>
  <si>
    <t>raulventuralopez19@gmail.com</t>
  </si>
  <si>
    <t>3202049846</t>
  </si>
  <si>
    <t>gabrielmauricevega@gmail.com</t>
  </si>
  <si>
    <t>5736801429</t>
  </si>
  <si>
    <t>isidrogerrero707@gmail.com</t>
  </si>
  <si>
    <t>8702791930</t>
  </si>
  <si>
    <t>4:00PM - 2:00AM | 2nd Shift - 4PM</t>
  </si>
  <si>
    <t>Jalon R. Jackson</t>
  </si>
  <si>
    <t>alejandrogomez16270@gmail.com</t>
  </si>
  <si>
    <t>5177361395</t>
  </si>
  <si>
    <t>dzj404290@gmail.com</t>
  </si>
  <si>
    <t>2603727884</t>
  </si>
  <si>
    <t>esaup8007@gmail.com</t>
  </si>
  <si>
    <t>6627797336</t>
  </si>
  <si>
    <t>4:00PM - 2:00AM | 2nd Shift - Rotational Da</t>
  </si>
  <si>
    <t>isrrap.379@gmail.com</t>
  </si>
  <si>
    <t>2343786662</t>
  </si>
  <si>
    <t>jonyjimenez985@gmail.com</t>
  </si>
  <si>
    <t>2603638513</t>
  </si>
  <si>
    <t>josueruizvazquez414@gmail.com</t>
  </si>
  <si>
    <t>2606925266</t>
  </si>
  <si>
    <t>Juan Sanchez</t>
  </si>
  <si>
    <t>velascoyahir085@gmail.com</t>
  </si>
  <si>
    <t>5178976119</t>
  </si>
  <si>
    <t>martinezjrrene6@gmail.com</t>
  </si>
  <si>
    <t>(608) 870-0815</t>
  </si>
  <si>
    <t>Luis E Ceballos Martinez</t>
  </si>
  <si>
    <t>ceballosluisenrique02@gmail.com</t>
  </si>
  <si>
    <t>2243233284</t>
  </si>
  <si>
    <t>07/28/2025</t>
  </si>
  <si>
    <t>samuel.lopezintzin@gmail.com</t>
  </si>
  <si>
    <t>7064957587</t>
  </si>
  <si>
    <t>Nicholas T. Preston</t>
  </si>
  <si>
    <t>vzm4331@gmail.com</t>
  </si>
  <si>
    <t>2603727880</t>
  </si>
  <si>
    <t>victorarias61833@gmail.com</t>
  </si>
  <si>
    <t>3344063643</t>
  </si>
  <si>
    <t>almeidafernan86@gmail.com</t>
  </si>
  <si>
    <t>9892892750</t>
  </si>
  <si>
    <t>adanp161@gmail.com</t>
  </si>
  <si>
    <t>3158641402</t>
  </si>
  <si>
    <t>12/13/2023</t>
  </si>
  <si>
    <t>Ronald Glen Holmes</t>
  </si>
  <si>
    <t>venturalopez365@gmail.com</t>
  </si>
  <si>
    <t>3158807982</t>
  </si>
  <si>
    <t>Steven N. Holliday</t>
  </si>
  <si>
    <t>ianlopezp567@gmail.com</t>
  </si>
  <si>
    <t>8633191503</t>
  </si>
  <si>
    <t>ampmedina6@gmail.com</t>
  </si>
  <si>
    <t>6613766817</t>
  </si>
  <si>
    <t>Daniel Smith</t>
  </si>
  <si>
    <t>andres85oswaldo@icloud.com</t>
  </si>
  <si>
    <t>2254215813</t>
  </si>
  <si>
    <t>Usando van del 1er turno pero son del 3ro y uno de 1ro</t>
  </si>
  <si>
    <t>Van # 1</t>
  </si>
  <si>
    <t>Van # 2</t>
  </si>
  <si>
    <t>Van # 3</t>
  </si>
  <si>
    <t>Grantsburg 1st Shift-______________</t>
  </si>
  <si>
    <t>Grantsburg 2nd Shift- Elvyn</t>
  </si>
  <si>
    <t>Grantsburg Night Shift- Luis Angarita</t>
  </si>
  <si>
    <t>AUV-3082      In- 6am &amp; 7am</t>
  </si>
  <si>
    <t>ASD-2482    In- 3pm &amp; 4pm</t>
  </si>
  <si>
    <t>AVA-3124     In- 6pm &amp; 7pm</t>
  </si>
  <si>
    <t>Elvyn Ortiz Sanchez-Driver</t>
  </si>
  <si>
    <t>Luis D. Angarita - 7-7,R-Driver</t>
  </si>
  <si>
    <t>Eric Olivas</t>
  </si>
  <si>
    <t>Andres Ayala - 7-7 right</t>
  </si>
  <si>
    <t>Ricardo Mondrago Mercado</t>
  </si>
  <si>
    <t>Miguel Mata - 7-7 right</t>
  </si>
  <si>
    <t>Cody Banuelos - 6pm-5am</t>
  </si>
  <si>
    <t>Felix Baez Caballero-6pmDriver</t>
  </si>
  <si>
    <t>Orlando Moreno - 7-7,Opposite</t>
  </si>
  <si>
    <t>1st but 3rd in Siren is using it</t>
  </si>
  <si>
    <t>2nd</t>
  </si>
  <si>
    <t>3rd</t>
  </si>
  <si>
    <t>No transportation they have their own vehicle:</t>
  </si>
  <si>
    <r>
      <t xml:space="preserve">Ardelvis Cruz Llamo </t>
    </r>
    <r>
      <rPr>
        <sz val="10"/>
        <rFont val="Calibri"/>
        <family val="2"/>
      </rPr>
      <t>- 5am has car</t>
    </r>
  </si>
  <si>
    <r>
      <t>Alexis Ramirez -</t>
    </r>
    <r>
      <rPr>
        <sz val="11"/>
        <rFont val="Calibri"/>
        <family val="2"/>
      </rPr>
      <t xml:space="preserve"> has a car</t>
    </r>
  </si>
  <si>
    <r>
      <t>Luis E. Ceballos Martinez-</t>
    </r>
    <r>
      <rPr>
        <sz val="10"/>
        <rFont val="Calibri"/>
        <family val="2"/>
      </rPr>
      <t xml:space="preserve"> 6pm has car</t>
    </r>
  </si>
  <si>
    <r>
      <t xml:space="preserve">Anthony Lopez </t>
    </r>
    <r>
      <rPr>
        <sz val="10"/>
        <color theme="1"/>
        <rFont val="Calibri"/>
        <family val="2"/>
        <scheme val="minor"/>
      </rPr>
      <t>- 5am has car</t>
    </r>
  </si>
  <si>
    <r>
      <t>Joseph Cruz-</t>
    </r>
    <r>
      <rPr>
        <sz val="11"/>
        <rFont val="Calibri"/>
        <family val="2"/>
      </rPr>
      <t>rides with Alexis</t>
    </r>
  </si>
  <si>
    <r>
      <t>Brandon Didonato</t>
    </r>
    <r>
      <rPr>
        <sz val="10"/>
        <rFont val="Calibri"/>
        <family val="2"/>
      </rPr>
      <t>- 6am-has car</t>
    </r>
  </si>
  <si>
    <t>LOCAL:</t>
  </si>
  <si>
    <t>6454 Route 30, Jeannette, PA 15644-3168</t>
  </si>
  <si>
    <t>Yellow House</t>
  </si>
  <si>
    <t>Apt. or #</t>
  </si>
  <si>
    <t>6454 Route 30, Jeannette, PA 15644</t>
  </si>
  <si>
    <t>6481 US-30 Jeannette, PA 15644</t>
  </si>
  <si>
    <t>AutoZone</t>
  </si>
  <si>
    <t xml:space="preserve">Supplier / Apartment complex </t>
  </si>
  <si>
    <t>Property Address</t>
  </si>
  <si>
    <t>Chateau Knoll</t>
  </si>
  <si>
    <t>2900 Middle Rd, Bettendorf, IA 52722</t>
  </si>
  <si>
    <t>Park Place Apartments</t>
  </si>
  <si>
    <t>14550 34th Ave N, Playmouth, MN 55447</t>
  </si>
  <si>
    <t>Econo Lodge Hotel</t>
  </si>
  <si>
    <t>1926 Jefferson St, Jefferson City, MO 65109</t>
  </si>
  <si>
    <t>Greenock Manor</t>
  </si>
  <si>
    <t>900 Seneca Court McKeesport, PA 15135</t>
  </si>
  <si>
    <t>1850 W Pine St, Baraboo, WI 53913</t>
  </si>
  <si>
    <t>Willow Wind Apartments</t>
  </si>
  <si>
    <t>410 7th St SE, Hinckley, MN 55037</t>
  </si>
  <si>
    <t>Hickory Haven Apartments LLC</t>
  </si>
  <si>
    <t>600 W Hickory St, Gilman, WI 54433.</t>
  </si>
  <si>
    <t>Bloomfield Gardens Apartments</t>
  </si>
  <si>
    <t>404 E Bloomfield St, Rome, NY 13440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</si>
</sst>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6"/>
      <color theme="9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7"/>
      <color theme="9" tint="-0.499984740745262"/>
      <name val="Calibri"/>
      <family val="2"/>
      <scheme val="minor"/>
    </font>
    <font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D1C1D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6"/>
      <color rgb="FF4472C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rgb="FFFF000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mediumGray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darkGray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A7A7A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A7A7A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8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7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thin">
        <color theme="7"/>
      </right>
      <top style="medium">
        <color indexed="64"/>
      </top>
      <bottom style="thin">
        <color theme="7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2" fillId="0" borderId="0"/>
    <xf numFmtId="0" fontId="35" fillId="0" borderId="0"/>
    <xf numFmtId="0" fontId="56" fillId="0" borderId="0" applyNumberFormat="0" applyFill="0" applyBorder="0" applyAlignment="0" applyProtection="0"/>
  </cellStyleXfs>
  <cellXfs count="630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0" fillId="3" borderId="9" xfId="0" applyFill="1" applyBorder="1"/>
    <xf numFmtId="0" fontId="0" fillId="4" borderId="6" xfId="0" applyFill="1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5" borderId="14" xfId="0" applyFill="1" applyBorder="1"/>
    <xf numFmtId="0" fontId="0" fillId="5" borderId="15" xfId="0" applyFill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5" borderId="14" xfId="0" applyFont="1" applyFill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 wrapText="1"/>
    </xf>
    <xf numFmtId="0" fontId="0" fillId="0" borderId="6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 vertical="center" wrapText="1"/>
    </xf>
    <xf numFmtId="0" fontId="3" fillId="6" borderId="25" xfId="0" applyFont="1" applyFill="1" applyBorder="1"/>
    <xf numFmtId="0" fontId="0" fillId="6" borderId="25" xfId="0" applyFill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0" fillId="0" borderId="30" xfId="0" applyBorder="1"/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/>
    <xf numFmtId="0" fontId="0" fillId="0" borderId="34" xfId="0" applyBorder="1"/>
    <xf numFmtId="0" fontId="0" fillId="0" borderId="33" xfId="0" applyBorder="1"/>
    <xf numFmtId="0" fontId="8" fillId="0" borderId="19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6" borderId="0" xfId="0" applyFill="1"/>
    <xf numFmtId="0" fontId="3" fillId="6" borderId="39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10" fillId="13" borderId="0" xfId="0" applyFont="1" applyFill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5" fillId="7" borderId="6" xfId="1" applyFont="1" applyFill="1" applyBorder="1" applyAlignment="1">
      <alignment horizontal="center"/>
    </xf>
    <xf numFmtId="0" fontId="15" fillId="5" borderId="6" xfId="1" applyFont="1" applyFill="1" applyBorder="1" applyAlignment="1">
      <alignment horizontal="center"/>
    </xf>
    <xf numFmtId="0" fontId="16" fillId="7" borderId="44" xfId="1" applyFont="1" applyFill="1" applyBorder="1" applyAlignment="1">
      <alignment horizontal="center"/>
    </xf>
    <xf numFmtId="0" fontId="16" fillId="5" borderId="44" xfId="1" applyFont="1" applyFill="1" applyBorder="1"/>
    <xf numFmtId="0" fontId="17" fillId="14" borderId="28" xfId="1" applyFont="1" applyFill="1" applyBorder="1"/>
    <xf numFmtId="0" fontId="16" fillId="10" borderId="2" xfId="1" applyFont="1" applyFill="1" applyBorder="1"/>
    <xf numFmtId="0" fontId="16" fillId="7" borderId="2" xfId="1" applyFont="1" applyFill="1" applyBorder="1"/>
    <xf numFmtId="0" fontId="16" fillId="5" borderId="2" xfId="1" applyFont="1" applyFill="1" applyBorder="1"/>
    <xf numFmtId="0" fontId="17" fillId="14" borderId="18" xfId="1" applyFont="1" applyFill="1" applyBorder="1"/>
    <xf numFmtId="0" fontId="17" fillId="10" borderId="18" xfId="1" applyFont="1" applyFill="1" applyBorder="1"/>
    <xf numFmtId="0" fontId="17" fillId="7" borderId="2" xfId="1" applyFont="1" applyFill="1" applyBorder="1"/>
    <xf numFmtId="0" fontId="17" fillId="5" borderId="2" xfId="1" applyFont="1" applyFill="1" applyBorder="1"/>
    <xf numFmtId="0" fontId="17" fillId="7" borderId="18" xfId="1" applyFont="1" applyFill="1" applyBorder="1"/>
    <xf numFmtId="0" fontId="17" fillId="5" borderId="18" xfId="1" applyFont="1" applyFill="1" applyBorder="1"/>
    <xf numFmtId="0" fontId="17" fillId="3" borderId="18" xfId="1" applyFont="1" applyFill="1" applyBorder="1"/>
    <xf numFmtId="0" fontId="16" fillId="3" borderId="2" xfId="1" applyFont="1" applyFill="1" applyBorder="1"/>
    <xf numFmtId="0" fontId="17" fillId="4" borderId="18" xfId="1" applyFont="1" applyFill="1" applyBorder="1"/>
    <xf numFmtId="0" fontId="18" fillId="5" borderId="18" xfId="1" applyFont="1" applyFill="1" applyBorder="1"/>
    <xf numFmtId="0" fontId="17" fillId="14" borderId="23" xfId="1" applyFont="1" applyFill="1" applyBorder="1"/>
    <xf numFmtId="0" fontId="17" fillId="5" borderId="23" xfId="1" applyFont="1" applyFill="1" applyBorder="1"/>
    <xf numFmtId="0" fontId="3" fillId="1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7" fillId="14" borderId="2" xfId="1" applyFont="1" applyFill="1" applyBorder="1"/>
    <xf numFmtId="0" fontId="17" fillId="9" borderId="2" xfId="1" applyFont="1" applyFill="1" applyBorder="1"/>
    <xf numFmtId="0" fontId="17" fillId="8" borderId="2" xfId="1" applyFont="1" applyFill="1" applyBorder="1"/>
    <xf numFmtId="0" fontId="20" fillId="9" borderId="18" xfId="0" applyFont="1" applyFill="1" applyBorder="1"/>
    <xf numFmtId="0" fontId="17" fillId="8" borderId="18" xfId="1" applyFont="1" applyFill="1" applyBorder="1"/>
    <xf numFmtId="0" fontId="17" fillId="0" borderId="18" xfId="1" applyFont="1" applyBorder="1"/>
    <xf numFmtId="0" fontId="0" fillId="0" borderId="18" xfId="0" applyBorder="1"/>
    <xf numFmtId="0" fontId="22" fillId="0" borderId="18" xfId="0" applyFont="1" applyBorder="1" applyAlignment="1">
      <alignment horizontal="center"/>
    </xf>
    <xf numFmtId="0" fontId="3" fillId="2" borderId="18" xfId="0" applyFont="1" applyFill="1" applyBorder="1"/>
    <xf numFmtId="0" fontId="2" fillId="2" borderId="18" xfId="0" applyFont="1" applyFill="1" applyBorder="1" applyAlignment="1">
      <alignment horizontal="right"/>
    </xf>
    <xf numFmtId="0" fontId="0" fillId="2" borderId="18" xfId="0" applyFill="1" applyBorder="1"/>
    <xf numFmtId="0" fontId="3" fillId="0" borderId="18" xfId="0" applyFont="1" applyBorder="1" applyAlignment="1">
      <alignment horizontal="center"/>
    </xf>
    <xf numFmtId="0" fontId="8" fillId="16" borderId="6" xfId="0" applyFont="1" applyFill="1" applyBorder="1" applyAlignment="1">
      <alignment horizontal="center" vertical="center" wrapText="1"/>
    </xf>
    <xf numFmtId="0" fontId="0" fillId="18" borderId="18" xfId="0" applyFill="1" applyBorder="1"/>
    <xf numFmtId="0" fontId="0" fillId="18" borderId="8" xfId="0" applyFill="1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10" fillId="13" borderId="18" xfId="0" applyFont="1" applyFill="1" applyBorder="1"/>
    <xf numFmtId="0" fontId="16" fillId="0" borderId="18" xfId="1" applyFont="1" applyBorder="1"/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18" fillId="0" borderId="18" xfId="1" applyFont="1" applyBorder="1"/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24" fillId="19" borderId="18" xfId="0" applyFont="1" applyFill="1" applyBorder="1" applyAlignment="1">
      <alignment horizontal="left"/>
    </xf>
    <xf numFmtId="0" fontId="24" fillId="20" borderId="18" xfId="0" applyFont="1" applyFill="1" applyBorder="1"/>
    <xf numFmtId="0" fontId="26" fillId="21" borderId="18" xfId="0" applyFont="1" applyFill="1" applyBorder="1"/>
    <xf numFmtId="0" fontId="27" fillId="22" borderId="18" xfId="0" applyFont="1" applyFill="1" applyBorder="1"/>
    <xf numFmtId="0" fontId="26" fillId="19" borderId="18" xfId="0" applyFont="1" applyFill="1" applyBorder="1" applyAlignment="1">
      <alignment horizontal="left"/>
    </xf>
    <xf numFmtId="0" fontId="28" fillId="21" borderId="18" xfId="0" applyFont="1" applyFill="1" applyBorder="1"/>
    <xf numFmtId="0" fontId="8" fillId="16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5" fillId="0" borderId="18" xfId="0" applyFont="1" applyBorder="1"/>
    <xf numFmtId="0" fontId="1" fillId="23" borderId="18" xfId="0" applyFont="1" applyFill="1" applyBorder="1"/>
    <xf numFmtId="0" fontId="31" fillId="0" borderId="18" xfId="0" applyFont="1" applyBorder="1"/>
    <xf numFmtId="0" fontId="0" fillId="0" borderId="1" xfId="0" applyBorder="1"/>
    <xf numFmtId="0" fontId="5" fillId="0" borderId="2" xfId="0" applyFont="1" applyBorder="1"/>
    <xf numFmtId="0" fontId="0" fillId="0" borderId="2" xfId="0" applyBorder="1"/>
    <xf numFmtId="0" fontId="0" fillId="0" borderId="7" xfId="0" applyBorder="1"/>
    <xf numFmtId="0" fontId="3" fillId="0" borderId="18" xfId="0" applyFont="1" applyBorder="1"/>
    <xf numFmtId="0" fontId="0" fillId="24" borderId="18" xfId="0" applyFill="1" applyBorder="1"/>
    <xf numFmtId="0" fontId="5" fillId="26" borderId="18" xfId="0" applyFont="1" applyFill="1" applyBorder="1"/>
    <xf numFmtId="0" fontId="31" fillId="25" borderId="18" xfId="0" applyFont="1" applyFill="1" applyBorder="1"/>
    <xf numFmtId="0" fontId="33" fillId="26" borderId="18" xfId="0" applyFont="1" applyFill="1" applyBorder="1"/>
    <xf numFmtId="0" fontId="0" fillId="27" borderId="7" xfId="0" applyFill="1" applyBorder="1"/>
    <xf numFmtId="0" fontId="34" fillId="0" borderId="18" xfId="0" applyFont="1" applyBorder="1"/>
    <xf numFmtId="0" fontId="0" fillId="0" borderId="18" xfId="0" applyBorder="1" applyAlignment="1">
      <alignment horizontal="left"/>
    </xf>
    <xf numFmtId="0" fontId="0" fillId="26" borderId="18" xfId="0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1" fillId="0" borderId="18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27" borderId="18" xfId="0" applyFill="1" applyBorder="1" applyAlignment="1">
      <alignment horizontal="left"/>
    </xf>
    <xf numFmtId="0" fontId="0" fillId="27" borderId="8" xfId="0" applyFill="1" applyBorder="1" applyAlignment="1">
      <alignment horizontal="left"/>
    </xf>
    <xf numFmtId="0" fontId="0" fillId="0" borderId="47" xfId="0" applyBorder="1"/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1" fillId="0" borderId="11" xfId="0" applyFont="1" applyBorder="1"/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0" xfId="0" applyBorder="1"/>
    <xf numFmtId="0" fontId="0" fillId="0" borderId="0" xfId="0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36" fillId="28" borderId="51" xfId="2" applyFont="1" applyFill="1" applyBorder="1" applyAlignment="1">
      <alignment horizontal="center"/>
    </xf>
    <xf numFmtId="0" fontId="35" fillId="0" borderId="0" xfId="2"/>
    <xf numFmtId="0" fontId="35" fillId="0" borderId="51" xfId="2" applyBorder="1" applyAlignment="1">
      <alignment horizontal="center"/>
    </xf>
    <xf numFmtId="0" fontId="37" fillId="29" borderId="51" xfId="2" applyFont="1" applyFill="1" applyBorder="1" applyAlignment="1">
      <alignment horizontal="center"/>
    </xf>
    <xf numFmtId="14" fontId="0" fillId="0" borderId="18" xfId="0" applyNumberFormat="1" applyBorder="1"/>
    <xf numFmtId="0" fontId="39" fillId="0" borderId="0" xfId="0" applyFont="1"/>
    <xf numFmtId="0" fontId="40" fillId="30" borderId="15" xfId="0" applyFont="1" applyFill="1" applyBorder="1" applyAlignment="1">
      <alignment horizontal="center" vertical="center"/>
    </xf>
    <xf numFmtId="0" fontId="40" fillId="30" borderId="9" xfId="0" applyFont="1" applyFill="1" applyBorder="1" applyAlignment="1">
      <alignment horizontal="center" vertical="center"/>
    </xf>
    <xf numFmtId="0" fontId="40" fillId="30" borderId="6" xfId="0" applyFont="1" applyFill="1" applyBorder="1" applyAlignment="1">
      <alignment horizontal="center" vertical="center"/>
    </xf>
    <xf numFmtId="0" fontId="40" fillId="30" borderId="5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41" fillId="31" borderId="11" xfId="0" applyFont="1" applyFill="1" applyBorder="1"/>
    <xf numFmtId="0" fontId="41" fillId="31" borderId="12" xfId="0" applyFont="1" applyFill="1" applyBorder="1"/>
    <xf numFmtId="0" fontId="5" fillId="0" borderId="5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42" fillId="32" borderId="18" xfId="0" applyFont="1" applyFill="1" applyBorder="1" applyAlignment="1">
      <alignment horizontal="center" vertical="center"/>
    </xf>
    <xf numFmtId="0" fontId="39" fillId="0" borderId="32" xfId="0" applyFont="1" applyBorder="1" applyAlignment="1">
      <alignment horizontal="center"/>
    </xf>
    <xf numFmtId="0" fontId="39" fillId="0" borderId="50" xfId="0" applyFont="1" applyBorder="1" applyAlignment="1">
      <alignment horizontal="center"/>
    </xf>
    <xf numFmtId="0" fontId="41" fillId="31" borderId="50" xfId="0" applyFont="1" applyFill="1" applyBorder="1"/>
    <xf numFmtId="0" fontId="41" fillId="31" borderId="56" xfId="0" applyFont="1" applyFill="1" applyBorder="1"/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42" xfId="0" applyBorder="1" applyAlignment="1">
      <alignment horizontal="left" vertical="top" wrapText="1"/>
    </xf>
    <xf numFmtId="0" fontId="0" fillId="0" borderId="4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42" fillId="2" borderId="18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top"/>
    </xf>
    <xf numFmtId="0" fontId="10" fillId="13" borderId="54" xfId="0" applyFont="1" applyFill="1" applyBorder="1" applyAlignment="1">
      <alignment horizontal="center" vertical="top"/>
    </xf>
    <xf numFmtId="0" fontId="0" fillId="0" borderId="61" xfId="0" applyBorder="1" applyAlignment="1">
      <alignment horizontal="center" vertical="top"/>
    </xf>
    <xf numFmtId="0" fontId="0" fillId="0" borderId="62" xfId="0" applyBorder="1" applyAlignment="1">
      <alignment horizontal="center" vertical="top"/>
    </xf>
    <xf numFmtId="0" fontId="3" fillId="0" borderId="60" xfId="0" applyFont="1" applyBorder="1" applyAlignment="1">
      <alignment horizontal="left" vertical="center"/>
    </xf>
    <xf numFmtId="0" fontId="0" fillId="0" borderId="54" xfId="0" applyBorder="1" applyAlignment="1">
      <alignment horizontal="left" vertical="top" wrapText="1"/>
    </xf>
    <xf numFmtId="0" fontId="3" fillId="0" borderId="54" xfId="0" applyFont="1" applyBorder="1" applyAlignment="1">
      <alignment horizontal="left" vertical="center"/>
    </xf>
    <xf numFmtId="0" fontId="41" fillId="33" borderId="56" xfId="0" applyFont="1" applyFill="1" applyBorder="1"/>
    <xf numFmtId="0" fontId="4" fillId="0" borderId="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4" fillId="13" borderId="18" xfId="0" applyFont="1" applyFill="1" applyBorder="1" applyAlignment="1">
      <alignment horizontal="center"/>
    </xf>
    <xf numFmtId="0" fontId="43" fillId="31" borderId="18" xfId="0" applyFont="1" applyFill="1" applyBorder="1"/>
    <xf numFmtId="14" fontId="31" fillId="0" borderId="18" xfId="0" applyNumberFormat="1" applyFont="1" applyBorder="1" applyAlignment="1">
      <alignment horizontal="center"/>
    </xf>
    <xf numFmtId="0" fontId="41" fillId="33" borderId="11" xfId="0" applyFont="1" applyFill="1" applyBorder="1"/>
    <xf numFmtId="0" fontId="41" fillId="33" borderId="12" xfId="0" applyFont="1" applyFill="1" applyBorder="1"/>
    <xf numFmtId="0" fontId="41" fillId="33" borderId="50" xfId="0" applyFont="1" applyFill="1" applyBorder="1"/>
    <xf numFmtId="0" fontId="43" fillId="33" borderId="18" xfId="0" applyFont="1" applyFill="1" applyBorder="1"/>
    <xf numFmtId="0" fontId="39" fillId="0" borderId="29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41" fillId="33" borderId="2" xfId="0" applyFont="1" applyFill="1" applyBorder="1"/>
    <xf numFmtId="0" fontId="41" fillId="33" borderId="28" xfId="0" applyFont="1" applyFill="1" applyBorder="1"/>
    <xf numFmtId="0" fontId="10" fillId="34" borderId="61" xfId="0" applyFont="1" applyFill="1" applyBorder="1" applyAlignment="1">
      <alignment horizontal="center" vertical="top"/>
    </xf>
    <xf numFmtId="0" fontId="44" fillId="34" borderId="62" xfId="0" applyFont="1" applyFill="1" applyBorder="1" applyAlignment="1">
      <alignment horizontal="center" vertical="top"/>
    </xf>
    <xf numFmtId="0" fontId="10" fillId="13" borderId="62" xfId="0" applyFont="1" applyFill="1" applyBorder="1" applyAlignment="1">
      <alignment horizontal="center" vertical="top"/>
    </xf>
    <xf numFmtId="0" fontId="0" fillId="0" borderId="42" xfId="0" applyBorder="1" applyAlignment="1">
      <alignment wrapText="1"/>
    </xf>
    <xf numFmtId="0" fontId="0" fillId="0" borderId="43" xfId="0" applyBorder="1" applyAlignment="1">
      <alignment horizontal="left" vertical="top" wrapText="1"/>
    </xf>
    <xf numFmtId="0" fontId="0" fillId="0" borderId="43" xfId="0" applyBorder="1"/>
    <xf numFmtId="0" fontId="39" fillId="0" borderId="6" xfId="0" applyFont="1" applyBorder="1" applyAlignment="1">
      <alignment vertical="center"/>
    </xf>
    <xf numFmtId="0" fontId="39" fillId="0" borderId="28" xfId="0" applyFont="1" applyBorder="1" applyAlignment="1">
      <alignment horizontal="center"/>
    </xf>
    <xf numFmtId="0" fontId="43" fillId="0" borderId="10" xfId="0" applyFont="1" applyBorder="1"/>
    <xf numFmtId="0" fontId="43" fillId="0" borderId="34" xfId="0" applyFont="1" applyBorder="1"/>
    <xf numFmtId="0" fontId="39" fillId="0" borderId="44" xfId="0" applyFont="1" applyBorder="1" applyAlignment="1">
      <alignment vertical="center"/>
    </xf>
    <xf numFmtId="0" fontId="39" fillId="0" borderId="56" xfId="0" applyFont="1" applyBorder="1" applyAlignment="1">
      <alignment horizontal="center"/>
    </xf>
    <xf numFmtId="0" fontId="43" fillId="0" borderId="32" xfId="0" applyFont="1" applyBorder="1"/>
    <xf numFmtId="0" fontId="43" fillId="0" borderId="33" xfId="0" applyFont="1" applyBorder="1"/>
    <xf numFmtId="0" fontId="4" fillId="13" borderId="23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3" fillId="33" borderId="23" xfId="0" applyFont="1" applyFill="1" applyBorder="1"/>
    <xf numFmtId="14" fontId="31" fillId="0" borderId="23" xfId="0" applyNumberFormat="1" applyFont="1" applyBorder="1" applyAlignment="1">
      <alignment horizontal="center"/>
    </xf>
    <xf numFmtId="0" fontId="4" fillId="17" borderId="63" xfId="0" applyFont="1" applyFill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3" fillId="33" borderId="63" xfId="0" applyFont="1" applyFill="1" applyBorder="1"/>
    <xf numFmtId="14" fontId="31" fillId="0" borderId="63" xfId="0" applyNumberFormat="1" applyFont="1" applyBorder="1" applyAlignment="1">
      <alignment horizontal="center"/>
    </xf>
    <xf numFmtId="0" fontId="8" fillId="5" borderId="15" xfId="0" applyFont="1" applyFill="1" applyBorder="1" applyAlignment="1">
      <alignment horizontal="center" vertical="center" wrapText="1"/>
    </xf>
    <xf numFmtId="0" fontId="4" fillId="17" borderId="18" xfId="0" applyFont="1" applyFill="1" applyBorder="1" applyAlignment="1">
      <alignment horizontal="center"/>
    </xf>
    <xf numFmtId="0" fontId="39" fillId="0" borderId="26" xfId="0" applyFont="1" applyBorder="1"/>
    <xf numFmtId="0" fontId="40" fillId="35" borderId="14" xfId="0" applyFont="1" applyFill="1" applyBorder="1" applyAlignment="1">
      <alignment horizontal="center"/>
    </xf>
    <xf numFmtId="0" fontId="38" fillId="16" borderId="15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29" xfId="0" applyFont="1" applyBorder="1"/>
    <xf numFmtId="0" fontId="39" fillId="0" borderId="64" xfId="0" applyFont="1" applyBorder="1"/>
    <xf numFmtId="0" fontId="39" fillId="0" borderId="65" xfId="0" applyFont="1" applyBorder="1"/>
    <xf numFmtId="0" fontId="39" fillId="0" borderId="17" xfId="0" applyFont="1" applyBorder="1"/>
    <xf numFmtId="0" fontId="39" fillId="0" borderId="66" xfId="0" applyFont="1" applyBorder="1"/>
    <xf numFmtId="14" fontId="3" fillId="0" borderId="18" xfId="0" applyNumberFormat="1" applyFont="1" applyBorder="1"/>
    <xf numFmtId="0" fontId="39" fillId="0" borderId="32" xfId="0" applyFont="1" applyBorder="1"/>
    <xf numFmtId="0" fontId="40" fillId="30" borderId="57" xfId="0" applyFont="1" applyFill="1" applyBorder="1" applyAlignment="1">
      <alignment horizontal="center"/>
    </xf>
    <xf numFmtId="0" fontId="40" fillId="30" borderId="58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8" fillId="0" borderId="26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1" fillId="16" borderId="15" xfId="0" applyFont="1" applyFill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9" fillId="0" borderId="65" xfId="0" applyFont="1" applyBorder="1" applyAlignment="1">
      <alignment horizontal="center"/>
    </xf>
    <xf numFmtId="14" fontId="39" fillId="0" borderId="68" xfId="0" applyNumberFormat="1" applyFont="1" applyBorder="1" applyAlignment="1">
      <alignment horizontal="center"/>
    </xf>
    <xf numFmtId="0" fontId="45" fillId="0" borderId="69" xfId="0" applyFont="1" applyBorder="1"/>
    <xf numFmtId="0" fontId="46" fillId="0" borderId="69" xfId="0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30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70" xfId="0" applyBorder="1" applyAlignment="1">
      <alignment horizontal="center"/>
    </xf>
    <xf numFmtId="0" fontId="45" fillId="0" borderId="64" xfId="0" applyFont="1" applyBorder="1"/>
    <xf numFmtId="0" fontId="46" fillId="0" borderId="64" xfId="0" applyFont="1" applyBorder="1" applyAlignment="1">
      <alignment horizontal="center"/>
    </xf>
    <xf numFmtId="0" fontId="46" fillId="0" borderId="18" xfId="0" applyFont="1" applyBorder="1" applyAlignment="1">
      <alignment horizontal="center"/>
    </xf>
    <xf numFmtId="0" fontId="46" fillId="0" borderId="67" xfId="0" applyFont="1" applyBorder="1" applyAlignment="1">
      <alignment horizontal="center"/>
    </xf>
    <xf numFmtId="0" fontId="46" fillId="0" borderId="7" xfId="0" applyFont="1" applyBorder="1" applyAlignment="1">
      <alignment horizontal="center"/>
    </xf>
    <xf numFmtId="0" fontId="46" fillId="0" borderId="35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45" fillId="0" borderId="57" xfId="0" applyFont="1" applyBorder="1"/>
    <xf numFmtId="0" fontId="46" fillId="0" borderId="57" xfId="0" applyFont="1" applyBorder="1" applyAlignment="1">
      <alignment horizontal="center"/>
    </xf>
    <xf numFmtId="0" fontId="46" fillId="0" borderId="50" xfId="0" applyFont="1" applyBorder="1" applyAlignment="1">
      <alignment horizontal="center"/>
    </xf>
    <xf numFmtId="0" fontId="46" fillId="0" borderId="33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66" xfId="0" applyFont="1" applyBorder="1" applyAlignment="1">
      <alignment horizontal="center"/>
    </xf>
    <xf numFmtId="0" fontId="39" fillId="0" borderId="70" xfId="0" applyFont="1" applyBorder="1" applyAlignment="1">
      <alignment horizontal="center"/>
    </xf>
    <xf numFmtId="14" fontId="39" fillId="0" borderId="7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4" fillId="0" borderId="0" xfId="0" applyFont="1"/>
    <xf numFmtId="0" fontId="28" fillId="0" borderId="0" xfId="0" applyFont="1"/>
    <xf numFmtId="0" fontId="29" fillId="0" borderId="0" xfId="0" applyFont="1"/>
    <xf numFmtId="6" fontId="0" fillId="0" borderId="0" xfId="0" applyNumberFormat="1"/>
    <xf numFmtId="0" fontId="47" fillId="22" borderId="18" xfId="0" applyFont="1" applyFill="1" applyBorder="1"/>
    <xf numFmtId="0" fontId="28" fillId="0" borderId="18" xfId="0" applyFont="1" applyBorder="1"/>
    <xf numFmtId="0" fontId="29" fillId="19" borderId="18" xfId="0" applyFont="1" applyFill="1" applyBorder="1" applyAlignment="1">
      <alignment horizontal="left"/>
    </xf>
    <xf numFmtId="0" fontId="48" fillId="21" borderId="18" xfId="0" applyFont="1" applyFill="1" applyBorder="1"/>
    <xf numFmtId="0" fontId="24" fillId="0" borderId="18" xfId="0" applyFont="1" applyBorder="1" applyAlignment="1">
      <alignment horizontal="left"/>
    </xf>
    <xf numFmtId="0" fontId="27" fillId="0" borderId="18" xfId="0" applyFont="1" applyBorder="1"/>
    <xf numFmtId="0" fontId="26" fillId="0" borderId="18" xfId="0" applyFont="1" applyBorder="1" applyAlignment="1">
      <alignment horizontal="left"/>
    </xf>
    <xf numFmtId="0" fontId="24" fillId="0" borderId="18" xfId="0" applyFont="1" applyBorder="1"/>
    <xf numFmtId="0" fontId="17" fillId="17" borderId="35" xfId="1" applyFont="1" applyFill="1" applyBorder="1"/>
    <xf numFmtId="0" fontId="17" fillId="17" borderId="7" xfId="1" applyFont="1" applyFill="1" applyBorder="1"/>
    <xf numFmtId="0" fontId="23" fillId="13" borderId="18" xfId="0" applyFont="1" applyFill="1" applyBorder="1"/>
    <xf numFmtId="0" fontId="8" fillId="16" borderId="18" xfId="0" applyFont="1" applyFill="1" applyBorder="1" applyAlignment="1">
      <alignment horizontal="center" vertical="center" wrapText="1"/>
    </xf>
    <xf numFmtId="0" fontId="0" fillId="26" borderId="18" xfId="0" applyFill="1" applyBorder="1"/>
    <xf numFmtId="0" fontId="2" fillId="26" borderId="18" xfId="0" applyFont="1" applyFill="1" applyBorder="1"/>
    <xf numFmtId="0" fontId="31" fillId="0" borderId="2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0" fillId="36" borderId="0" xfId="0" applyFont="1" applyFill="1"/>
    <xf numFmtId="0" fontId="49" fillId="37" borderId="13" xfId="0" applyFont="1" applyFill="1" applyBorder="1" applyAlignment="1">
      <alignment horizontal="center" vertical="center"/>
    </xf>
    <xf numFmtId="0" fontId="5" fillId="0" borderId="8" xfId="0" applyFont="1" applyBorder="1"/>
    <xf numFmtId="0" fontId="0" fillId="0" borderId="70" xfId="0" applyBorder="1"/>
    <xf numFmtId="0" fontId="0" fillId="0" borderId="59" xfId="0" applyBorder="1"/>
    <xf numFmtId="0" fontId="0" fillId="0" borderId="66" xfId="0" applyBorder="1"/>
    <xf numFmtId="0" fontId="0" fillId="0" borderId="58" xfId="0" applyBorder="1"/>
    <xf numFmtId="0" fontId="51" fillId="37" borderId="44" xfId="0" applyFont="1" applyFill="1" applyBorder="1" applyAlignment="1">
      <alignment horizontal="center" vertical="center"/>
    </xf>
    <xf numFmtId="0" fontId="51" fillId="37" borderId="43" xfId="0" applyFont="1" applyFill="1" applyBorder="1" applyAlignment="1">
      <alignment horizontal="center" vertical="center"/>
    </xf>
    <xf numFmtId="0" fontId="0" fillId="0" borderId="56" xfId="0" applyBorder="1"/>
    <xf numFmtId="0" fontId="52" fillId="0" borderId="23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/>
    </xf>
    <xf numFmtId="0" fontId="20" fillId="0" borderId="18" xfId="0" applyFont="1" applyBorder="1"/>
    <xf numFmtId="0" fontId="31" fillId="15" borderId="18" xfId="0" applyFont="1" applyFill="1" applyBorder="1" applyAlignment="1">
      <alignment horizontal="center" vertical="center"/>
    </xf>
    <xf numFmtId="0" fontId="31" fillId="26" borderId="18" xfId="0" applyFont="1" applyFill="1" applyBorder="1" applyAlignment="1">
      <alignment horizontal="center" vertical="center"/>
    </xf>
    <xf numFmtId="0" fontId="53" fillId="16" borderId="15" xfId="0" applyFont="1" applyFill="1" applyBorder="1" applyAlignment="1">
      <alignment horizontal="center" vertical="center" wrapText="1"/>
    </xf>
    <xf numFmtId="0" fontId="54" fillId="16" borderId="15" xfId="0" applyFont="1" applyFill="1" applyBorder="1" applyAlignment="1">
      <alignment horizontal="center" vertical="center" wrapText="1"/>
    </xf>
    <xf numFmtId="0" fontId="25" fillId="26" borderId="18" xfId="0" applyFont="1" applyFill="1" applyBorder="1"/>
    <xf numFmtId="0" fontId="9" fillId="0" borderId="2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6" fillId="0" borderId="18" xfId="0" applyFont="1" applyBorder="1"/>
    <xf numFmtId="164" fontId="0" fillId="0" borderId="0" xfId="0" applyNumberFormat="1"/>
    <xf numFmtId="0" fontId="20" fillId="0" borderId="2" xfId="0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/>
    </xf>
    <xf numFmtId="0" fontId="56" fillId="0" borderId="18" xfId="3" applyBorder="1" applyAlignment="1">
      <alignment horizontal="left"/>
    </xf>
    <xf numFmtId="0" fontId="32" fillId="38" borderId="18" xfId="0" applyFont="1" applyFill="1" applyBorder="1"/>
    <xf numFmtId="0" fontId="0" fillId="38" borderId="18" xfId="0" applyFill="1" applyBorder="1"/>
    <xf numFmtId="0" fontId="3" fillId="38" borderId="18" xfId="0" applyFont="1" applyFill="1" applyBorder="1"/>
    <xf numFmtId="0" fontId="30" fillId="38" borderId="18" xfId="0" applyFont="1" applyFill="1" applyBorder="1"/>
    <xf numFmtId="0" fontId="0" fillId="7" borderId="18" xfId="0" applyFill="1" applyBorder="1"/>
    <xf numFmtId="0" fontId="30" fillId="7" borderId="18" xfId="0" applyFont="1" applyFill="1" applyBorder="1"/>
    <xf numFmtId="0" fontId="0" fillId="7" borderId="23" xfId="0" applyFill="1" applyBorder="1"/>
    <xf numFmtId="0" fontId="30" fillId="7" borderId="23" xfId="0" applyFont="1" applyFill="1" applyBorder="1"/>
    <xf numFmtId="0" fontId="3" fillId="7" borderId="18" xfId="0" applyFont="1" applyFill="1" applyBorder="1"/>
    <xf numFmtId="0" fontId="32" fillId="7" borderId="18" xfId="0" applyFont="1" applyFill="1" applyBorder="1"/>
    <xf numFmtId="0" fontId="57" fillId="0" borderId="18" xfId="0" applyFont="1" applyBorder="1"/>
    <xf numFmtId="0" fontId="57" fillId="0" borderId="18" xfId="0" applyFont="1" applyBorder="1" applyAlignment="1">
      <alignment wrapText="1"/>
    </xf>
    <xf numFmtId="0" fontId="21" fillId="0" borderId="18" xfId="0" applyFont="1" applyBorder="1" applyAlignment="1">
      <alignment wrapText="1"/>
    </xf>
    <xf numFmtId="0" fontId="21" fillId="38" borderId="18" xfId="0" applyFont="1" applyFill="1" applyBorder="1"/>
    <xf numFmtId="0" fontId="30" fillId="7" borderId="18" xfId="0" applyFont="1" applyFill="1" applyBorder="1" applyAlignment="1">
      <alignment wrapText="1"/>
    </xf>
    <xf numFmtId="0" fontId="30" fillId="38" borderId="18" xfId="0" applyFont="1" applyFill="1" applyBorder="1" applyAlignment="1">
      <alignment wrapText="1"/>
    </xf>
    <xf numFmtId="0" fontId="58" fillId="0" borderId="18" xfId="0" applyFont="1" applyBorder="1"/>
    <xf numFmtId="0" fontId="24" fillId="39" borderId="18" xfId="0" applyFont="1" applyFill="1" applyBorder="1"/>
    <xf numFmtId="0" fontId="24" fillId="39" borderId="18" xfId="0" applyFont="1" applyFill="1" applyBorder="1" applyAlignment="1">
      <alignment horizontal="left"/>
    </xf>
    <xf numFmtId="0" fontId="0" fillId="39" borderId="18" xfId="0" applyFill="1" applyBorder="1"/>
    <xf numFmtId="0" fontId="34" fillId="0" borderId="18" xfId="0" applyFont="1" applyBorder="1" applyAlignment="1">
      <alignment horizontal="left"/>
    </xf>
    <xf numFmtId="0" fontId="34" fillId="0" borderId="0" xfId="0" applyFont="1"/>
    <xf numFmtId="0" fontId="0" fillId="0" borderId="19" xfId="0" applyBorder="1"/>
    <xf numFmtId="0" fontId="0" fillId="0" borderId="23" xfId="0" applyBorder="1"/>
    <xf numFmtId="0" fontId="57" fillId="0" borderId="51" xfId="0" applyFont="1" applyBorder="1"/>
    <xf numFmtId="0" fontId="59" fillId="38" borderId="18" xfId="0" applyFont="1" applyFill="1" applyBorder="1"/>
    <xf numFmtId="0" fontId="54" fillId="16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0" xfId="0" applyBorder="1" applyAlignment="1">
      <alignment horizontal="left"/>
    </xf>
    <xf numFmtId="0" fontId="17" fillId="14" borderId="17" xfId="1" applyFont="1" applyFill="1" applyBorder="1"/>
    <xf numFmtId="0" fontId="17" fillId="10" borderId="67" xfId="1" applyFont="1" applyFill="1" applyBorder="1"/>
    <xf numFmtId="0" fontId="17" fillId="14" borderId="32" xfId="1" applyFont="1" applyFill="1" applyBorder="1"/>
    <xf numFmtId="0" fontId="17" fillId="10" borderId="33" xfId="1" applyFont="1" applyFill="1" applyBorder="1"/>
    <xf numFmtId="0" fontId="17" fillId="14" borderId="29" xfId="1" applyFont="1" applyFill="1" applyBorder="1"/>
    <xf numFmtId="0" fontId="16" fillId="10" borderId="30" xfId="1" applyFont="1" applyFill="1" applyBorder="1"/>
    <xf numFmtId="0" fontId="23" fillId="0" borderId="18" xfId="0" applyFont="1" applyBorder="1"/>
    <xf numFmtId="0" fontId="30" fillId="0" borderId="0" xfId="0" applyFont="1" applyAlignment="1">
      <alignment horizontal="center" vertical="center" wrapText="1"/>
    </xf>
    <xf numFmtId="0" fontId="10" fillId="0" borderId="18" xfId="0" applyFont="1" applyBorder="1"/>
    <xf numFmtId="14" fontId="2" fillId="0" borderId="18" xfId="0" applyNumberFormat="1" applyFont="1" applyBorder="1"/>
    <xf numFmtId="0" fontId="1" fillId="41" borderId="18" xfId="0" applyFont="1" applyFill="1" applyBorder="1"/>
    <xf numFmtId="0" fontId="3" fillId="0" borderId="0" xfId="0" applyFont="1" applyAlignment="1">
      <alignment horizontal="center" vertical="center" wrapText="1"/>
    </xf>
    <xf numFmtId="0" fontId="0" fillId="11" borderId="7" xfId="0" applyFill="1" applyBorder="1" applyAlignment="1">
      <alignment horizontal="center"/>
    </xf>
    <xf numFmtId="0" fontId="3" fillId="11" borderId="16" xfId="0" applyFont="1" applyFill="1" applyBorder="1"/>
    <xf numFmtId="0" fontId="0" fillId="11" borderId="21" xfId="0" applyFill="1" applyBorder="1" applyAlignment="1">
      <alignment horizontal="center"/>
    </xf>
    <xf numFmtId="0" fontId="0" fillId="42" borderId="26" xfId="0" applyFill="1" applyBorder="1" applyAlignment="1">
      <alignment horizontal="center"/>
    </xf>
    <xf numFmtId="0" fontId="0" fillId="42" borderId="25" xfId="0" applyFill="1" applyBorder="1" applyAlignment="1">
      <alignment horizontal="center"/>
    </xf>
    <xf numFmtId="0" fontId="0" fillId="42" borderId="27" xfId="0" applyFill="1" applyBorder="1" applyAlignment="1">
      <alignment horizontal="center"/>
    </xf>
    <xf numFmtId="0" fontId="0" fillId="42" borderId="15" xfId="0" applyFill="1" applyBorder="1" applyAlignment="1">
      <alignment vertical="center"/>
    </xf>
    <xf numFmtId="0" fontId="3" fillId="0" borderId="31" xfId="0" applyFont="1" applyBorder="1" applyAlignment="1">
      <alignment horizontal="center" vertical="center" wrapText="1"/>
    </xf>
    <xf numFmtId="0" fontId="0" fillId="0" borderId="29" xfId="0" applyBorder="1"/>
    <xf numFmtId="0" fontId="0" fillId="11" borderId="31" xfId="0" applyFill="1" applyBorder="1" applyAlignment="1">
      <alignment horizontal="center"/>
    </xf>
    <xf numFmtId="0" fontId="0" fillId="0" borderId="32" xfId="0" applyBorder="1"/>
    <xf numFmtId="0" fontId="0" fillId="11" borderId="35" xfId="0" applyFill="1" applyBorder="1" applyAlignment="1">
      <alignment horizontal="center"/>
    </xf>
    <xf numFmtId="0" fontId="0" fillId="0" borderId="36" xfId="0" applyBorder="1"/>
    <xf numFmtId="0" fontId="0" fillId="43" borderId="26" xfId="0" applyFill="1" applyBorder="1" applyAlignment="1">
      <alignment horizontal="center"/>
    </xf>
    <xf numFmtId="0" fontId="0" fillId="43" borderId="25" xfId="0" applyFill="1" applyBorder="1" applyAlignment="1">
      <alignment horizontal="center"/>
    </xf>
    <xf numFmtId="0" fontId="0" fillId="43" borderId="27" xfId="0" applyFill="1" applyBorder="1" applyAlignment="1">
      <alignment horizontal="center"/>
    </xf>
    <xf numFmtId="0" fontId="0" fillId="43" borderId="15" xfId="0" applyFill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0" fillId="15" borderId="7" xfId="0" applyFill="1" applyBorder="1"/>
    <xf numFmtId="0" fontId="0" fillId="44" borderId="7" xfId="0" applyFill="1" applyBorder="1"/>
    <xf numFmtId="0" fontId="0" fillId="11" borderId="23" xfId="0" applyFill="1" applyBorder="1"/>
    <xf numFmtId="0" fontId="0" fillId="45" borderId="7" xfId="0" applyFill="1" applyBorder="1"/>
    <xf numFmtId="0" fontId="0" fillId="46" borderId="7" xfId="0" applyFill="1" applyBorder="1"/>
    <xf numFmtId="0" fontId="0" fillId="47" borderId="36" xfId="0" applyFill="1" applyBorder="1" applyAlignment="1">
      <alignment horizontal="center"/>
    </xf>
    <xf numFmtId="0" fontId="0" fillId="47" borderId="48" xfId="0" applyFill="1" applyBorder="1" applyAlignment="1">
      <alignment horizontal="center"/>
    </xf>
    <xf numFmtId="0" fontId="0" fillId="47" borderId="71" xfId="0" applyFill="1" applyBorder="1" applyAlignment="1">
      <alignment horizontal="center"/>
    </xf>
    <xf numFmtId="0" fontId="0" fillId="47" borderId="6" xfId="0" applyFill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0" fillId="48" borderId="7" xfId="0" applyFill="1" applyBorder="1"/>
    <xf numFmtId="0" fontId="0" fillId="11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vertical="center"/>
    </xf>
    <xf numFmtId="0" fontId="0" fillId="11" borderId="20" xfId="0" applyFill="1" applyBorder="1"/>
    <xf numFmtId="0" fontId="0" fillId="0" borderId="72" xfId="0" applyBorder="1" applyAlignment="1">
      <alignment horizontal="center"/>
    </xf>
    <xf numFmtId="0" fontId="0" fillId="11" borderId="8" xfId="0" applyFill="1" applyBorder="1"/>
    <xf numFmtId="0" fontId="10" fillId="13" borderId="7" xfId="0" applyFont="1" applyFill="1" applyBorder="1" applyAlignment="1">
      <alignment horizontal="center"/>
    </xf>
    <xf numFmtId="0" fontId="0" fillId="0" borderId="44" xfId="0" applyBorder="1" applyAlignment="1">
      <alignment vertical="center"/>
    </xf>
    <xf numFmtId="0" fontId="0" fillId="6" borderId="4" xfId="0" applyFill="1" applyBorder="1"/>
    <xf numFmtId="0" fontId="0" fillId="44" borderId="26" xfId="0" applyFill="1" applyBorder="1" applyAlignment="1">
      <alignment horizontal="center"/>
    </xf>
    <xf numFmtId="0" fontId="0" fillId="44" borderId="25" xfId="0" applyFill="1" applyBorder="1" applyAlignment="1">
      <alignment horizontal="center"/>
    </xf>
    <xf numFmtId="0" fontId="0" fillId="44" borderId="73" xfId="0" applyFill="1" applyBorder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0" fontId="60" fillId="0" borderId="0" xfId="0" applyFont="1"/>
    <xf numFmtId="0" fontId="60" fillId="36" borderId="1" xfId="0" applyFont="1" applyFill="1" applyBorder="1"/>
    <xf numFmtId="0" fontId="60" fillId="36" borderId="2" xfId="0" applyFont="1" applyFill="1" applyBorder="1"/>
    <xf numFmtId="0" fontId="60" fillId="40" borderId="2" xfId="0" applyFont="1" applyFill="1" applyBorder="1"/>
    <xf numFmtId="0" fontId="60" fillId="40" borderId="2" xfId="0" applyFont="1" applyFill="1" applyBorder="1" applyAlignment="1">
      <alignment horizontal="center"/>
    </xf>
    <xf numFmtId="0" fontId="60" fillId="40" borderId="28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48" borderId="18" xfId="0" applyFill="1" applyBorder="1"/>
    <xf numFmtId="0" fontId="0" fillId="48" borderId="18" xfId="0" applyFill="1" applyBorder="1" applyAlignment="1">
      <alignment horizontal="center"/>
    </xf>
    <xf numFmtId="0" fontId="0" fillId="48" borderId="8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45" borderId="18" xfId="0" applyFill="1" applyBorder="1"/>
    <xf numFmtId="0" fontId="0" fillId="45" borderId="18" xfId="0" applyFill="1" applyBorder="1" applyAlignment="1">
      <alignment horizontal="center"/>
    </xf>
    <xf numFmtId="0" fontId="0" fillId="45" borderId="8" xfId="0" applyFill="1" applyBorder="1" applyAlignment="1">
      <alignment horizontal="center"/>
    </xf>
    <xf numFmtId="0" fontId="0" fillId="46" borderId="18" xfId="0" applyFill="1" applyBorder="1"/>
    <xf numFmtId="0" fontId="0" fillId="46" borderId="18" xfId="0" applyFill="1" applyBorder="1" applyAlignment="1">
      <alignment horizontal="center"/>
    </xf>
    <xf numFmtId="0" fontId="0" fillId="46" borderId="8" xfId="0" applyFill="1" applyBorder="1" applyAlignment="1">
      <alignment horizontal="center"/>
    </xf>
    <xf numFmtId="14" fontId="0" fillId="0" borderId="0" xfId="0" applyNumberFormat="1"/>
    <xf numFmtId="0" fontId="0" fillId="15" borderId="18" xfId="0" applyFill="1" applyBorder="1"/>
    <xf numFmtId="0" fontId="0" fillId="15" borderId="18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5" borderId="7" xfId="0" applyFill="1" applyBorder="1"/>
    <xf numFmtId="0" fontId="0" fillId="5" borderId="18" xfId="0" applyFill="1" applyBorder="1"/>
    <xf numFmtId="0" fontId="0" fillId="5" borderId="1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56" fillId="5" borderId="18" xfId="3" applyFill="1" applyBorder="1"/>
    <xf numFmtId="0" fontId="0" fillId="44" borderId="18" xfId="0" applyFill="1" applyBorder="1"/>
    <xf numFmtId="0" fontId="0" fillId="44" borderId="18" xfId="0" applyFill="1" applyBorder="1" applyAlignment="1">
      <alignment horizontal="center"/>
    </xf>
    <xf numFmtId="0" fontId="0" fillId="44" borderId="8" xfId="0" applyFill="1" applyBorder="1" applyAlignment="1">
      <alignment horizontal="center"/>
    </xf>
    <xf numFmtId="0" fontId="3" fillId="48" borderId="7" xfId="0" applyFont="1" applyFill="1" applyBorder="1"/>
    <xf numFmtId="0" fontId="3" fillId="5" borderId="7" xfId="0" applyFont="1" applyFill="1" applyBorder="1"/>
    <xf numFmtId="0" fontId="3" fillId="45" borderId="7" xfId="0" applyFont="1" applyFill="1" applyBorder="1"/>
    <xf numFmtId="0" fontId="3" fillId="46" borderId="7" xfId="0" applyFont="1" applyFill="1" applyBorder="1"/>
    <xf numFmtId="0" fontId="0" fillId="15" borderId="19" xfId="0" applyFill="1" applyBorder="1"/>
    <xf numFmtId="0" fontId="0" fillId="15" borderId="23" xfId="0" applyFill="1" applyBorder="1"/>
    <xf numFmtId="0" fontId="0" fillId="15" borderId="23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0" fillId="32" borderId="2" xfId="0" applyFill="1" applyBorder="1" applyAlignment="1">
      <alignment horizontal="center"/>
    </xf>
    <xf numFmtId="0" fontId="3" fillId="32" borderId="7" xfId="0" applyFont="1" applyFill="1" applyBorder="1" applyAlignment="1">
      <alignment horizontal="center"/>
    </xf>
    <xf numFmtId="0" fontId="3" fillId="32" borderId="18" xfId="0" applyFont="1" applyFill="1" applyBorder="1" applyAlignment="1">
      <alignment horizontal="center"/>
    </xf>
    <xf numFmtId="0" fontId="0" fillId="32" borderId="18" xfId="0" applyFill="1" applyBorder="1"/>
    <xf numFmtId="0" fontId="0" fillId="32" borderId="8" xfId="0" applyFill="1" applyBorder="1"/>
    <xf numFmtId="0" fontId="3" fillId="0" borderId="15" xfId="0" applyFont="1" applyBorder="1" applyAlignment="1">
      <alignment horizontal="center"/>
    </xf>
    <xf numFmtId="0" fontId="0" fillId="32" borderId="5" xfId="0" applyFill="1" applyBorder="1" applyAlignment="1">
      <alignment horizontal="center"/>
    </xf>
    <xf numFmtId="0" fontId="0" fillId="26" borderId="8" xfId="0" applyFill="1" applyBorder="1"/>
    <xf numFmtId="0" fontId="50" fillId="36" borderId="1" xfId="0" applyFont="1" applyFill="1" applyBorder="1"/>
    <xf numFmtId="0" fontId="50" fillId="36" borderId="2" xfId="0" applyFont="1" applyFill="1" applyBorder="1"/>
    <xf numFmtId="0" fontId="50" fillId="36" borderId="28" xfId="0" applyFont="1" applyFill="1" applyBorder="1"/>
    <xf numFmtId="0" fontId="0" fillId="15" borderId="8" xfId="0" applyFill="1" applyBorder="1"/>
    <xf numFmtId="0" fontId="0" fillId="5" borderId="8" xfId="0" applyFill="1" applyBorder="1"/>
    <xf numFmtId="0" fontId="0" fillId="10" borderId="7" xfId="0" applyFill="1" applyBorder="1"/>
    <xf numFmtId="0" fontId="0" fillId="10" borderId="18" xfId="0" applyFill="1" applyBorder="1"/>
    <xf numFmtId="0" fontId="0" fillId="10" borderId="8" xfId="0" applyFill="1" applyBorder="1"/>
    <xf numFmtId="0" fontId="0" fillId="15" borderId="20" xfId="0" applyFill="1" applyBorder="1"/>
    <xf numFmtId="0" fontId="9" fillId="15" borderId="7" xfId="0" applyFont="1" applyFill="1" applyBorder="1"/>
    <xf numFmtId="0" fontId="3" fillId="15" borderId="18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5" fillId="49" borderId="18" xfId="0" applyFont="1" applyFill="1" applyBorder="1"/>
    <xf numFmtId="0" fontId="33" fillId="49" borderId="18" xfId="0" applyFont="1" applyFill="1" applyBorder="1"/>
    <xf numFmtId="0" fontId="31" fillId="0" borderId="13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26" borderId="18" xfId="0" applyFont="1" applyFill="1" applyBorder="1"/>
    <xf numFmtId="0" fontId="5" fillId="0" borderId="18" xfId="0" applyFont="1" applyBorder="1" applyAlignment="1">
      <alignment horizontal="center"/>
    </xf>
    <xf numFmtId="0" fontId="31" fillId="50" borderId="18" xfId="0" applyFont="1" applyFill="1" applyBorder="1" applyAlignment="1">
      <alignment horizontal="center"/>
    </xf>
    <xf numFmtId="0" fontId="23" fillId="13" borderId="18" xfId="0" applyFont="1" applyFill="1" applyBorder="1" applyAlignment="1">
      <alignment horizontal="center" vertical="center"/>
    </xf>
    <xf numFmtId="0" fontId="23" fillId="13" borderId="18" xfId="0" applyFont="1" applyFill="1" applyBorder="1" applyAlignment="1">
      <alignment horizontal="center"/>
    </xf>
    <xf numFmtId="0" fontId="20" fillId="0" borderId="2" xfId="0" applyFont="1" applyBorder="1"/>
    <xf numFmtId="0" fontId="20" fillId="0" borderId="11" xfId="0" applyFont="1" applyBorder="1"/>
    <xf numFmtId="0" fontId="20" fillId="0" borderId="50" xfId="0" applyFont="1" applyBorder="1"/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/>
    <xf numFmtId="0" fontId="20" fillId="0" borderId="25" xfId="0" applyFont="1" applyBorder="1"/>
    <xf numFmtId="0" fontId="20" fillId="0" borderId="8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/>
    <xf numFmtId="0" fontId="20" fillId="0" borderId="82" xfId="0" applyFont="1" applyBorder="1"/>
    <xf numFmtId="0" fontId="9" fillId="0" borderId="13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20" fillId="0" borderId="80" xfId="0" applyFont="1" applyBorder="1"/>
    <xf numFmtId="0" fontId="20" fillId="0" borderId="45" xfId="0" applyFont="1" applyBorder="1"/>
    <xf numFmtId="0" fontId="20" fillId="0" borderId="26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9" xfId="0" applyFont="1" applyBorder="1"/>
    <xf numFmtId="0" fontId="20" fillId="0" borderId="23" xfId="0" applyFont="1" applyBorder="1"/>
    <xf numFmtId="0" fontId="0" fillId="42" borderId="75" xfId="0" applyFill="1" applyBorder="1" applyAlignment="1">
      <alignment horizontal="center"/>
    </xf>
    <xf numFmtId="0" fontId="0" fillId="42" borderId="26" xfId="0" applyFill="1" applyBorder="1" applyAlignment="1">
      <alignment vertical="center"/>
    </xf>
    <xf numFmtId="0" fontId="0" fillId="43" borderId="75" xfId="0" applyFill="1" applyBorder="1" applyAlignment="1">
      <alignment horizontal="center"/>
    </xf>
    <xf numFmtId="0" fontId="0" fillId="43" borderId="26" xfId="0" applyFill="1" applyBorder="1" applyAlignment="1">
      <alignment vertical="center"/>
    </xf>
    <xf numFmtId="0" fontId="0" fillId="47" borderId="74" xfId="0" applyFill="1" applyBorder="1" applyAlignment="1">
      <alignment horizontal="center"/>
    </xf>
    <xf numFmtId="0" fontId="0" fillId="47" borderId="76" xfId="0" applyFill="1" applyBorder="1" applyAlignment="1">
      <alignment horizontal="center"/>
    </xf>
    <xf numFmtId="0" fontId="0" fillId="47" borderId="77" xfId="0" applyFill="1" applyBorder="1" applyAlignment="1">
      <alignment horizontal="center"/>
    </xf>
    <xf numFmtId="0" fontId="0" fillId="47" borderId="74" xfId="0" applyFill="1" applyBorder="1" applyAlignment="1">
      <alignment vertical="center"/>
    </xf>
    <xf numFmtId="0" fontId="20" fillId="0" borderId="27" xfId="0" applyFont="1" applyBorder="1"/>
    <xf numFmtId="0" fontId="20" fillId="0" borderId="83" xfId="0" applyFont="1" applyBorder="1"/>
    <xf numFmtId="0" fontId="9" fillId="0" borderId="0" xfId="0" applyFont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75" xfId="0" applyFill="1" applyBorder="1" applyAlignment="1">
      <alignment horizontal="center"/>
    </xf>
    <xf numFmtId="0" fontId="0" fillId="10" borderId="26" xfId="0" applyFill="1" applyBorder="1" applyAlignment="1">
      <alignment vertical="center"/>
    </xf>
    <xf numFmtId="0" fontId="9" fillId="10" borderId="15" xfId="0" applyFont="1" applyFill="1" applyBorder="1" applyAlignment="1">
      <alignment horizontal="center" vertical="top" wrapText="1"/>
    </xf>
    <xf numFmtId="0" fontId="9" fillId="15" borderId="15" xfId="0" applyFont="1" applyFill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10" borderId="26" xfId="0" applyFill="1" applyBorder="1" applyAlignment="1">
      <alignment horizontal="center" vertical="center"/>
    </xf>
    <xf numFmtId="0" fontId="0" fillId="43" borderId="2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7" borderId="74" xfId="0" applyFill="1" applyBorder="1" applyAlignment="1">
      <alignment horizontal="center" vertical="center"/>
    </xf>
    <xf numFmtId="0" fontId="0" fillId="42" borderId="26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1" fillId="0" borderId="8" xfId="0" applyFont="1" applyBorder="1"/>
    <xf numFmtId="0" fontId="47" fillId="0" borderId="18" xfId="0" applyFont="1" applyBorder="1"/>
    <xf numFmtId="0" fontId="29" fillId="0" borderId="18" xfId="0" applyFont="1" applyBorder="1" applyAlignment="1">
      <alignment horizontal="left"/>
    </xf>
    <xf numFmtId="0" fontId="25" fillId="0" borderId="18" xfId="0" applyFont="1" applyBorder="1"/>
    <xf numFmtId="0" fontId="48" fillId="0" borderId="18" xfId="0" applyFont="1" applyBorder="1"/>
    <xf numFmtId="0" fontId="4" fillId="51" borderId="18" xfId="0" applyFont="1" applyFill="1" applyBorder="1" applyAlignment="1">
      <alignment horizontal="center" vertical="center" wrapText="1"/>
    </xf>
    <xf numFmtId="0" fontId="4" fillId="51" borderId="18" xfId="0" applyFont="1" applyFill="1" applyBorder="1" applyAlignment="1">
      <alignment horizontal="center"/>
    </xf>
    <xf numFmtId="0" fontId="24" fillId="51" borderId="18" xfId="0" applyFont="1" applyFill="1" applyBorder="1"/>
    <xf numFmtId="0" fontId="25" fillId="51" borderId="15" xfId="0" applyFont="1" applyFill="1" applyBorder="1" applyAlignment="1">
      <alignment horizontal="center"/>
    </xf>
    <xf numFmtId="0" fontId="29" fillId="26" borderId="18" xfId="0" applyFont="1" applyFill="1" applyBorder="1" applyAlignment="1">
      <alignment horizontal="left"/>
    </xf>
    <xf numFmtId="0" fontId="24" fillId="26" borderId="18" xfId="0" applyFont="1" applyFill="1" applyBorder="1"/>
    <xf numFmtId="0" fontId="25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8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38" fillId="0" borderId="6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9" fillId="13" borderId="6" xfId="0" applyFont="1" applyFill="1" applyBorder="1" applyAlignment="1">
      <alignment horizontal="center" vertical="center"/>
    </xf>
    <xf numFmtId="0" fontId="39" fillId="13" borderId="4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9" fillId="5" borderId="6" xfId="0" applyFont="1" applyFill="1" applyBorder="1" applyAlignment="1">
      <alignment horizontal="center" vertical="center" wrapText="1"/>
    </xf>
    <xf numFmtId="0" fontId="39" fillId="5" borderId="44" xfId="0" applyFont="1" applyFill="1" applyBorder="1" applyAlignment="1">
      <alignment horizontal="center" vertical="center" wrapText="1"/>
    </xf>
    <xf numFmtId="0" fontId="38" fillId="13" borderId="6" xfId="0" applyFont="1" applyFill="1" applyBorder="1" applyAlignment="1">
      <alignment horizontal="center" vertical="center"/>
    </xf>
    <xf numFmtId="0" fontId="38" fillId="13" borderId="44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44" xfId="0" applyFont="1" applyFill="1" applyBorder="1" applyAlignment="1">
      <alignment horizontal="center" vertical="center"/>
    </xf>
    <xf numFmtId="0" fontId="39" fillId="0" borderId="6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textRotation="90"/>
    </xf>
    <xf numFmtId="0" fontId="8" fillId="0" borderId="13" xfId="0" applyFont="1" applyBorder="1" applyAlignment="1">
      <alignment horizontal="center" vertical="center" textRotation="90"/>
    </xf>
    <xf numFmtId="0" fontId="8" fillId="0" borderId="44" xfId="0" applyFont="1" applyBorder="1" applyAlignment="1">
      <alignment horizontal="center" vertical="center" textRotation="90"/>
    </xf>
    <xf numFmtId="0" fontId="53" fillId="0" borderId="6" xfId="0" applyFont="1" applyBorder="1" applyAlignment="1">
      <alignment horizontal="center" vertical="center" textRotation="90"/>
    </xf>
    <xf numFmtId="0" fontId="53" fillId="0" borderId="13" xfId="0" applyFont="1" applyBorder="1" applyAlignment="1">
      <alignment horizontal="center" vertical="center" textRotation="90"/>
    </xf>
    <xf numFmtId="0" fontId="53" fillId="0" borderId="44" xfId="0" applyFont="1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6" fillId="17" borderId="0" xfId="1" applyFont="1" applyFill="1" applyAlignment="1">
      <alignment horizontal="center"/>
    </xf>
    <xf numFmtId="0" fontId="16" fillId="17" borderId="31" xfId="1" applyFont="1" applyFill="1" applyBorder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55" fillId="0" borderId="1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13" borderId="9" xfId="1" applyFont="1" applyFill="1" applyBorder="1" applyAlignment="1">
      <alignment horizontal="center"/>
    </xf>
    <xf numFmtId="0" fontId="14" fillId="13" borderId="41" xfId="1" applyFont="1" applyFill="1" applyBorder="1" applyAlignment="1">
      <alignment horizontal="center"/>
    </xf>
    <xf numFmtId="0" fontId="16" fillId="13" borderId="42" xfId="1" applyFont="1" applyFill="1" applyBorder="1" applyAlignment="1">
      <alignment horizontal="center"/>
    </xf>
    <xf numFmtId="0" fontId="16" fillId="13" borderId="43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3" fillId="0" borderId="53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7" fillId="0" borderId="23" xfId="1" applyFont="1" applyBorder="1" applyAlignment="1">
      <alignment horizontal="center" wrapText="1"/>
    </xf>
    <xf numFmtId="0" fontId="17" fillId="0" borderId="3" xfId="1" applyFont="1" applyBorder="1" applyAlignment="1">
      <alignment horizontal="center" wrapText="1"/>
    </xf>
    <xf numFmtId="0" fontId="17" fillId="0" borderId="45" xfId="1" applyFont="1" applyBorder="1" applyAlignment="1">
      <alignment horizontal="center" wrapText="1"/>
    </xf>
    <xf numFmtId="0" fontId="17" fillId="0" borderId="23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17" fillId="0" borderId="45" xfId="1" applyFont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46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3" fillId="16" borderId="46" xfId="0" applyFont="1" applyFill="1" applyBorder="1" applyAlignment="1">
      <alignment horizontal="center"/>
    </xf>
    <xf numFmtId="0" fontId="3" fillId="16" borderId="16" xfId="0" applyFont="1" applyFill="1" applyBorder="1" applyAlignment="1">
      <alignment horizontal="center"/>
    </xf>
    <xf numFmtId="0" fontId="13" fillId="0" borderId="14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80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54E21D73-EF56-4B6A-BD28-58BBF96948DE}"/>
    <cellStyle name="Normal 3" xfId="2" xr:uid="{5F51D60A-B3CB-4713-AA5D-EAD0837F2817}"/>
  </cellStyles>
  <dxfs count="5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1124599</xdr:colOff>
      <xdr:row>29</xdr:row>
      <xdr:rowOff>202405</xdr:rowOff>
    </xdr:from>
    <xdr:to>
      <xdr:col>23</xdr:col>
      <xdr:colOff>913369</xdr:colOff>
      <xdr:row>59</xdr:row>
      <xdr:rowOff>168260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23DDE-DB06-48A2-9AA9-EF95743C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27024" y="10194130"/>
          <a:ext cx="4122646" cy="7557281"/>
        </a:xfrm>
        <a:prstGeom prst="rect">
          <a:avLst/>
        </a:prstGeom>
      </xdr:spPr>
    </xdr:pic>
    <xdr:clientData/>
  </xdr:twoCellAnchor>
  <xdr:twoCellAnchor>
    <xdr:from>
      <xdr:col>9</xdr:col>
      <xdr:colOff>362532</xdr:colOff>
      <xdr:row>10</xdr:row>
      <xdr:rowOff>190497</xdr:rowOff>
    </xdr:from>
    <xdr:to>
      <xdr:col>9</xdr:col>
      <xdr:colOff>943838</xdr:colOff>
      <xdr:row>11</xdr:row>
      <xdr:rowOff>372341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D4589-D4B3-4313-B248-B7D5A96AC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3457" y="4610097"/>
          <a:ext cx="581306" cy="619994"/>
        </a:xfrm>
        <a:prstGeom prst="rect">
          <a:avLst/>
        </a:prstGeom>
      </xdr:spPr>
    </xdr:pic>
    <xdr:clientData/>
  </xdr:twoCellAnchor>
  <xdr:twoCellAnchor editAs="oneCell">
    <xdr:from>
      <xdr:col>11</xdr:col>
      <xdr:colOff>225136</xdr:colOff>
      <xdr:row>4</xdr:row>
      <xdr:rowOff>164524</xdr:rowOff>
    </xdr:from>
    <xdr:to>
      <xdr:col>11</xdr:col>
      <xdr:colOff>891673</xdr:colOff>
      <xdr:row>6</xdr:row>
      <xdr:rowOff>25979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E5BB50-8E4E-4415-869A-20ED25BA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21811" y="1955224"/>
          <a:ext cx="666537" cy="737755"/>
        </a:xfrm>
        <a:prstGeom prst="rect">
          <a:avLst/>
        </a:prstGeom>
      </xdr:spPr>
    </xdr:pic>
    <xdr:clientData/>
  </xdr:twoCellAnchor>
  <xdr:twoCellAnchor editAs="oneCell">
    <xdr:from>
      <xdr:col>10</xdr:col>
      <xdr:colOff>397317</xdr:colOff>
      <xdr:row>10</xdr:row>
      <xdr:rowOff>190934</xdr:rowOff>
    </xdr:from>
    <xdr:to>
      <xdr:col>10</xdr:col>
      <xdr:colOff>1062985</xdr:colOff>
      <xdr:row>12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C84CB2-B647-4CE6-881D-4FFB4368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9467" y="4610534"/>
          <a:ext cx="665668" cy="685367"/>
        </a:xfrm>
        <a:prstGeom prst="rect">
          <a:avLst/>
        </a:prstGeom>
      </xdr:spPr>
    </xdr:pic>
    <xdr:clientData/>
  </xdr:twoCellAnchor>
  <xdr:twoCellAnchor editAs="oneCell">
    <xdr:from>
      <xdr:col>9</xdr:col>
      <xdr:colOff>398320</xdr:colOff>
      <xdr:row>4</xdr:row>
      <xdr:rowOff>138546</xdr:rowOff>
    </xdr:from>
    <xdr:to>
      <xdr:col>9</xdr:col>
      <xdr:colOff>943842</xdr:colOff>
      <xdr:row>6</xdr:row>
      <xdr:rowOff>39507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910AF0-52C9-4C6A-944E-D0A8F26AE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9245" y="1929246"/>
          <a:ext cx="545522" cy="777261"/>
        </a:xfrm>
        <a:prstGeom prst="rect">
          <a:avLst/>
        </a:prstGeom>
      </xdr:spPr>
    </xdr:pic>
    <xdr:clientData/>
  </xdr:twoCellAnchor>
  <xdr:twoCellAnchor editAs="oneCell">
    <xdr:from>
      <xdr:col>9</xdr:col>
      <xdr:colOff>389656</xdr:colOff>
      <xdr:row>2</xdr:row>
      <xdr:rowOff>164523</xdr:rowOff>
    </xdr:from>
    <xdr:to>
      <xdr:col>9</xdr:col>
      <xdr:colOff>943838</xdr:colOff>
      <xdr:row>3</xdr:row>
      <xdr:rowOff>430482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9C3214-A14B-494B-BB3D-951CAF90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90581" y="1078923"/>
          <a:ext cx="554182" cy="704109"/>
        </a:xfrm>
        <a:prstGeom prst="rect">
          <a:avLst/>
        </a:prstGeom>
      </xdr:spPr>
    </xdr:pic>
    <xdr:clientData/>
  </xdr:twoCellAnchor>
  <xdr:twoCellAnchor editAs="oneCell">
    <xdr:from>
      <xdr:col>12</xdr:col>
      <xdr:colOff>398318</xdr:colOff>
      <xdr:row>10</xdr:row>
      <xdr:rowOff>199159</xdr:rowOff>
    </xdr:from>
    <xdr:to>
      <xdr:col>12</xdr:col>
      <xdr:colOff>1047750</xdr:colOff>
      <xdr:row>14</xdr:row>
      <xdr:rowOff>225722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3A405F-725D-4FF0-AD26-698A15C3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47543" y="4618759"/>
          <a:ext cx="649432" cy="902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317988</xdr:colOff>
      <xdr:row>4</xdr:row>
      <xdr:rowOff>164524</xdr:rowOff>
    </xdr:from>
    <xdr:to>
      <xdr:col>12</xdr:col>
      <xdr:colOff>796637</xdr:colOff>
      <xdr:row>5</xdr:row>
      <xdr:rowOff>424296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BFC42B-266C-4DE6-BCA2-182B8FC9A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67213" y="1955224"/>
          <a:ext cx="478649" cy="697922"/>
        </a:xfrm>
        <a:prstGeom prst="rect">
          <a:avLst/>
        </a:prstGeom>
      </xdr:spPr>
    </xdr:pic>
    <xdr:clientData/>
  </xdr:twoCellAnchor>
  <xdr:twoCellAnchor editAs="oneCell">
    <xdr:from>
      <xdr:col>12</xdr:col>
      <xdr:colOff>199159</xdr:colOff>
      <xdr:row>2</xdr:row>
      <xdr:rowOff>173181</xdr:rowOff>
    </xdr:from>
    <xdr:to>
      <xdr:col>12</xdr:col>
      <xdr:colOff>841287</xdr:colOff>
      <xdr:row>4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CE941B-42C7-443F-827D-E8E1CDDA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48384" y="1087581"/>
          <a:ext cx="642128" cy="703119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432952</xdr:colOff>
      <xdr:row>10</xdr:row>
      <xdr:rowOff>199159</xdr:rowOff>
    </xdr:from>
    <xdr:to>
      <xdr:col>11</xdr:col>
      <xdr:colOff>1024826</xdr:colOff>
      <xdr:row>14</xdr:row>
      <xdr:rowOff>34636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06E1E3-582F-408E-B2A9-1943822AE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29627" y="4618759"/>
          <a:ext cx="591874" cy="711777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415635</xdr:colOff>
      <xdr:row>4</xdr:row>
      <xdr:rowOff>207817</xdr:rowOff>
    </xdr:from>
    <xdr:to>
      <xdr:col>10</xdr:col>
      <xdr:colOff>925352</xdr:colOff>
      <xdr:row>6</xdr:row>
      <xdr:rowOff>25977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8E44A0-7844-4AC5-9828-5E2451A6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97785" y="1998517"/>
          <a:ext cx="509717" cy="69446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251113</xdr:colOff>
      <xdr:row>2</xdr:row>
      <xdr:rowOff>181840</xdr:rowOff>
    </xdr:from>
    <xdr:to>
      <xdr:col>10</xdr:col>
      <xdr:colOff>757781</xdr:colOff>
      <xdr:row>4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838112-1263-4ED3-8FD3-0F7335D9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33263" y="1096240"/>
          <a:ext cx="506668" cy="694460"/>
        </a:xfrm>
        <a:prstGeom prst="rect">
          <a:avLst/>
        </a:prstGeom>
      </xdr:spPr>
    </xdr:pic>
    <xdr:clientData/>
  </xdr:twoCellAnchor>
  <xdr:twoCellAnchor editAs="oneCell">
    <xdr:from>
      <xdr:col>11</xdr:col>
      <xdr:colOff>199159</xdr:colOff>
      <xdr:row>2</xdr:row>
      <xdr:rowOff>164523</xdr:rowOff>
    </xdr:from>
    <xdr:to>
      <xdr:col>11</xdr:col>
      <xdr:colOff>798548</xdr:colOff>
      <xdr:row>3</xdr:row>
      <xdr:rowOff>432955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25FDC5-0ADC-4119-9121-BD17335F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95834" y="1078923"/>
          <a:ext cx="599389" cy="706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106974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85FF1D3-E741-494E-AE7B-836201F08F64}"/>
            </a:ext>
          </a:extLst>
        </xdr:cNvPr>
        <xdr:cNvSpPr>
          <a:spLocks noChangeAspect="1" noChangeArrowheads="1"/>
        </xdr:cNvSpPr>
      </xdr:nvSpPr>
      <xdr:spPr bwMode="auto">
        <a:xfrm>
          <a:off x="10382250" y="1866900"/>
          <a:ext cx="304800" cy="306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1444625</xdr:colOff>
      <xdr:row>45</xdr:row>
      <xdr:rowOff>176213</xdr:rowOff>
    </xdr:from>
    <xdr:to>
      <xdr:col>8</xdr:col>
      <xdr:colOff>629309</xdr:colOff>
      <xdr:row>70</xdr:row>
      <xdr:rowOff>72088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448B6-D300-7637-9137-35BA73B2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5125" y="7729538"/>
          <a:ext cx="4728234" cy="4420250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45</xdr:row>
      <xdr:rowOff>114299</xdr:rowOff>
    </xdr:from>
    <xdr:to>
      <xdr:col>5</xdr:col>
      <xdr:colOff>1062695</xdr:colOff>
      <xdr:row>69</xdr:row>
      <xdr:rowOff>153042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85F484-75D5-F788-6B1A-233FC4F0013D}"/>
            </a:ext>
            <a:ext uri="{147F2762-F138-4A5C-976F-8EAC2B608ADB}">
              <a16:predDERef xmlns:a16="http://schemas.microsoft.com/office/drawing/2014/main" pred="{D5F448B6-D300-7637-9137-35BA73B2F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188" y="7667624"/>
          <a:ext cx="4706007" cy="4382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49</xdr:row>
      <xdr:rowOff>177512</xdr:rowOff>
    </xdr:from>
    <xdr:to>
      <xdr:col>17</xdr:col>
      <xdr:colOff>300044</xdr:colOff>
      <xdr:row>69</xdr:row>
      <xdr:rowOff>158111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5227F-F809-B6CF-2E87-B7210F3E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7841" y="10663671"/>
          <a:ext cx="4421771" cy="3825235"/>
        </a:xfrm>
        <a:prstGeom prst="rect">
          <a:avLst/>
        </a:prstGeom>
      </xdr:spPr>
    </xdr:pic>
    <xdr:clientData/>
  </xdr:twoCellAnchor>
  <xdr:twoCellAnchor editAs="oneCell">
    <xdr:from>
      <xdr:col>14</xdr:col>
      <xdr:colOff>244764</xdr:colOff>
      <xdr:row>42</xdr:row>
      <xdr:rowOff>92796</xdr:rowOff>
    </xdr:from>
    <xdr:to>
      <xdr:col>18</xdr:col>
      <xdr:colOff>1106035</xdr:colOff>
      <xdr:row>62</xdr:row>
      <xdr:rowOff>183284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E7A345-B8D7-AC48-C921-F560DD58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8832" y="9245455"/>
          <a:ext cx="5268749" cy="3995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402030</xdr:colOff>
      <xdr:row>22</xdr:row>
      <xdr:rowOff>152773</xdr:rowOff>
    </xdr:from>
    <xdr:to>
      <xdr:col>13</xdr:col>
      <xdr:colOff>193592</xdr:colOff>
      <xdr:row>28</xdr:row>
      <xdr:rowOff>129269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B715DD-55B1-1D21-477F-44C02A44603D}"/>
            </a:ext>
          </a:extLst>
        </xdr:cNvPr>
        <xdr:cNvSpPr txBox="1"/>
      </xdr:nvSpPr>
      <xdr:spPr>
        <a:xfrm>
          <a:off x="12900254" y="5760951"/>
          <a:ext cx="1785581" cy="1418598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Greenock Manor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5400" b="1">
              <a:solidFill>
                <a:srgbClr val="0070C0"/>
              </a:solidFill>
            </a:rPr>
            <a:t>32</a:t>
          </a:r>
          <a:br>
            <a:rPr lang="en-US" sz="1100" b="1">
              <a:solidFill>
                <a:sysClr val="windowText" lastClr="000000"/>
              </a:solidFill>
            </a:rPr>
          </a:br>
          <a:r>
            <a:rPr lang="en-US" sz="1100" b="1">
              <a:solidFill>
                <a:sysClr val="windowText" lastClr="000000"/>
              </a:solidFill>
            </a:rPr>
            <a:t>McKeesport, PA - Shuster</a:t>
          </a:r>
        </a:p>
      </xdr:txBody>
    </xdr:sp>
    <xdr:clientData/>
  </xdr:twoCellAnchor>
  <xdr:twoCellAnchor editAs="oneCell">
    <xdr:from>
      <xdr:col>2</xdr:col>
      <xdr:colOff>108857</xdr:colOff>
      <xdr:row>69</xdr:row>
      <xdr:rowOff>95249</xdr:rowOff>
    </xdr:from>
    <xdr:to>
      <xdr:col>5</xdr:col>
      <xdr:colOff>531151</xdr:colOff>
      <xdr:row>97</xdr:row>
      <xdr:rowOff>48362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FC7E04-6E9A-6D9B-A34F-D2CEB3897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16403410"/>
          <a:ext cx="3381847" cy="5287113"/>
        </a:xfrm>
        <a:prstGeom prst="rect">
          <a:avLst/>
        </a:prstGeom>
      </xdr:spPr>
    </xdr:pic>
    <xdr:clientData/>
  </xdr:twoCellAnchor>
  <xdr:twoCellAnchor>
    <xdr:from>
      <xdr:col>6</xdr:col>
      <xdr:colOff>142430</xdr:colOff>
      <xdr:row>12</xdr:row>
      <xdr:rowOff>195841</xdr:rowOff>
    </xdr:from>
    <xdr:to>
      <xdr:col>12</xdr:col>
      <xdr:colOff>658738</xdr:colOff>
      <xdr:row>23</xdr:row>
      <xdr:rowOff>115724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6578FD-7862-0A20-6E8B-70F5AC9E1D51}"/>
            </a:ext>
          </a:extLst>
        </xdr:cNvPr>
        <xdr:cNvSpPr txBox="1"/>
      </xdr:nvSpPr>
      <xdr:spPr>
        <a:xfrm>
          <a:off x="5857430" y="3329299"/>
          <a:ext cx="7076986" cy="26349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900 SENECA CT APT 49                                    (Range 41 - 49)</a:t>
          </a:r>
        </a:p>
        <a:p>
          <a:endParaRPr lang="en-US" sz="1100"/>
        </a:p>
        <a:p>
          <a:r>
            <a:rPr lang="en-US" sz="1100"/>
            <a:t>MCKEESPORT PA 15135-2333</a:t>
          </a:r>
        </a:p>
        <a:p>
          <a:endParaRPr lang="en-US" sz="1100"/>
        </a:p>
        <a:p>
          <a:r>
            <a:rPr lang="en-US" sz="1100"/>
            <a:t> </a:t>
          </a:r>
        </a:p>
        <a:p>
          <a:endParaRPr lang="en-US" sz="1100"/>
        </a:p>
        <a:p>
          <a:r>
            <a:rPr lang="en-US" sz="1100"/>
            <a:t>918 ZIMMER LN APT (Range 61 - 69)</a:t>
          </a:r>
        </a:p>
        <a:p>
          <a:endParaRPr lang="en-US" sz="1100"/>
        </a:p>
        <a:p>
          <a:r>
            <a:rPr lang="en-US" sz="1100"/>
            <a:t>MCKEESPORT PA 15135-2334</a:t>
          </a:r>
        </a:p>
        <a:p>
          <a:endParaRPr lang="en-US" sz="1100"/>
        </a:p>
        <a:p>
          <a:r>
            <a:rPr lang="en-US" sz="1100"/>
            <a:t> </a:t>
          </a:r>
        </a:p>
        <a:p>
          <a:endParaRPr lang="en-US" sz="1100"/>
        </a:p>
        <a:p>
          <a:r>
            <a:rPr lang="en-US" sz="1100"/>
            <a:t>1040 COMPLEX DR APT (Range 71 - 79)</a:t>
          </a:r>
        </a:p>
        <a:p>
          <a:endParaRPr lang="en-US" sz="1100"/>
        </a:p>
        <a:p>
          <a:r>
            <a:rPr lang="en-US" sz="1100"/>
            <a:t>MCKEESPORT PA 15135-2332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C2659E-90BE-4413-8B5B-55AE7EC0E59C}" name="Table6" displayName="Table6" ref="A19:G49" totalsRowShown="0" headerRowDxfId="52" headerRowBorderDxfId="50" tableBorderDxfId="51" totalsRowBorderDxfId="49">
  <autoFilter ref="A19:G49" xr:uid="{B71AECB8-3DDB-476D-9809-F45371CBC49F}"/>
  <sortState xmlns:xlrd2="http://schemas.microsoft.com/office/spreadsheetml/2017/richdata2" ref="A20:G49">
    <sortCondition ref="C19:C49"/>
  </sortState>
  <tableColumns count="7">
    <tableColumn id="1" xr3:uid="{A733C9DC-8F26-404E-A6D1-29071ADDA0A4}" name="Employee" dataDxfId="48"/>
    <tableColumn id="2" xr3:uid="{C514057D-0F83-45D3-A606-F16142A77BB0}" name="Column1" dataDxfId="47"/>
    <tableColumn id="3" xr3:uid="{E49A61EC-D207-4363-9110-AC964D83E809}" name="Column2" dataDxfId="46"/>
    <tableColumn id="4" xr3:uid="{9D180C84-E3F6-4448-A7E1-B7D182D5E177}" name="Email Address" dataDxfId="45"/>
    <tableColumn id="5" xr3:uid="{E4ACAAC3-95E8-41BB-AE1C-B3B44C78853B}" name="Phone" dataDxfId="44"/>
    <tableColumn id="6" xr3:uid="{861EC5CF-1ED4-4677-870B-300831EBAE97}" name="Start Date" dataDxfId="43"/>
    <tableColumn id="7" xr3:uid="{02EE4E90-16AF-460F-B1B2-315F6874D8E6}" name="Shift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8A9B9D-09B8-49DE-9F2D-BD039CA3B93B}" name="Table3" displayName="Table3" ref="E21:I31" totalsRowShown="0" headerRowDxfId="41">
  <autoFilter ref="E21:I31" xr:uid="{978A9B9D-09B8-49DE-9F2D-BD039CA3B93B}"/>
  <tableColumns count="5">
    <tableColumn id="1" xr3:uid="{0A118AAF-3F11-437A-875B-6A8177F56838}" name="Empleado" dataDxfId="40"/>
    <tableColumn id="2" xr3:uid="{24502D2B-8BE1-4776-87B7-8FB266B49D06}" name="Correo electronico"/>
    <tableColumn id="3" xr3:uid="{11FA48A8-7C8C-417A-A3EC-E6E2CAC77B0D}" name="Número de teléfono del empleado"/>
    <tableColumn id="4" xr3:uid="{5840F295-6140-4FF8-A7D3-4BFDDF913403}" name="Fecha de inicio"/>
    <tableColumn id="5" xr3:uid="{88E61DE9-828C-4134-A8E3-CD5468B3508D}" name="Tu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3E27D-1ABF-4CE7-AF99-4847290E60E3}" name="Table2" displayName="Table2" ref="D11:H32" totalsRowShown="0">
  <autoFilter ref="D11:H32" xr:uid="{6B03E27D-1ABF-4CE7-AF99-4847290E60E3}"/>
  <sortState xmlns:xlrd2="http://schemas.microsoft.com/office/spreadsheetml/2017/richdata2" ref="D12:H31">
    <sortCondition ref="H11:H31"/>
  </sortState>
  <tableColumns count="5">
    <tableColumn id="1" xr3:uid="{53F80580-7BC3-4369-82CA-45DACEDCF854}" name="Employee" dataDxfId="39"/>
    <tableColumn id="2" xr3:uid="{4669DD4B-54D4-4476-9D7E-BE81BA42B128}" name="APT" dataDxfId="38"/>
    <tableColumn id="3" xr3:uid="{C2EF9A3A-B155-4934-9F3E-C11B6C0B8A99}" name="Email Address" dataDxfId="37"/>
    <tableColumn id="4" xr3:uid="{B2DECEA5-2D49-4D3E-935D-3D3C9F220D29}" name="Phone" dataDxfId="36"/>
    <tableColumn id="5" xr3:uid="{7E6610E1-30F1-4D71-A710-0A93148A1F6A}" name="Start Date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5244C-B2C8-41AF-A49A-1619744C72E7}" name="Table4" displayName="Table4" ref="E15:J41" totalsRowShown="0" headerRowDxfId="34" headerRowBorderDxfId="32" tableBorderDxfId="33" totalsRowBorderDxfId="31">
  <autoFilter ref="E15:J41" xr:uid="{61C5244C-B2C8-41AF-A49A-1619744C72E7}"/>
  <sortState xmlns:xlrd2="http://schemas.microsoft.com/office/spreadsheetml/2017/richdata2" ref="E16:J41">
    <sortCondition ref="E15:E41"/>
  </sortState>
  <tableColumns count="6">
    <tableColumn id="1" xr3:uid="{DFDD9F06-CCE0-472B-9E2B-4B662A825B8D}" name="Employee" dataDxfId="30"/>
    <tableColumn id="2" xr3:uid="{82F1883C-F832-4FD6-AAF7-8422D371B65A}" name="APT" dataDxfId="29"/>
    <tableColumn id="3" xr3:uid="{2E1D6E52-0649-4399-82DA-C5C7D86BBB3E}" name="Column1" dataDxfId="28"/>
    <tableColumn id="4" xr3:uid="{055CA7B6-EA22-4C4C-824E-4EA913CF5130}" name="Email Address" dataDxfId="27"/>
    <tableColumn id="5" xr3:uid="{69F9893F-CE46-41D6-953F-A7BC312F8F04}" name="Phone" dataDxfId="26"/>
    <tableColumn id="6" xr3:uid="{020F91A9-3AA2-46A4-BDAB-42431F54B845}" name="Start Date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C8F76-D573-406A-A97B-A572836FC112}" name="Table1" displayName="Table1" ref="B2:K32" totalsRowShown="0" headerRowDxfId="24" headerRowBorderDxfId="22" tableBorderDxfId="23" totalsRowBorderDxfId="21">
  <autoFilter ref="B2:K32" xr:uid="{F2C43972-55AE-4503-83F2-2F27F12B6E25}"/>
  <tableColumns count="10">
    <tableColumn id="1" xr3:uid="{6BDFEEA4-FC82-4BF6-A3EA-B273221F1462}" name="Room " dataDxfId="20"/>
    <tableColumn id="2" xr3:uid="{ACCEEEFB-6271-4D9B-B949-7BF73F6FBFBD}" name="Capacity" dataDxfId="19"/>
    <tableColumn id="6" xr3:uid="{D8C65687-E37D-4858-BC04-F5B3B5BC45FC}" name="Column1"/>
    <tableColumn id="3" xr3:uid="{822D4260-70D0-4800-AA73-91CD8FCE0D0F}" name="Bed 1" dataDxfId="18"/>
    <tableColumn id="4" xr3:uid="{44D84BCA-32C8-4801-A4CE-F9539FC9BD04}" name="Bed 2" dataDxfId="17"/>
    <tableColumn id="5" xr3:uid="{985BEBE9-01ED-46C0-BEFB-09A807BCEA5F}" name="N/A" dataDxfId="16"/>
    <tableColumn id="7" xr3:uid="{DC840054-89B1-447C-8E0B-E0DA79276CA3}" name="Room In use = 1                                      Empty = 0" dataDxfId="15"/>
    <tableColumn id="8" xr3:uid="{5D4C4955-18F7-40FB-9AD8-F20E35F4E43B}" name="Occupied" dataDxfId="14">
      <calculatedColumnFormula>COUNTA(Table1[[#This Row],[Bed 1]:[Bed 2]])</calculatedColumnFormula>
    </tableColumn>
    <tableColumn id="9" xr3:uid="{4C92C20F-D3A5-4FD7-82A0-764E0C76451A}" name="Capacity Available" dataDxfId="13">
      <calculatedColumnFormula>Table1[[#This Row],[Capacity]]-Table1[[#This Row],[Occupied]]</calculatedColumnFormula>
    </tableColumn>
    <tableColumn id="10" xr3:uid="{FF8D3F26-CAEC-45D3-927C-81CF8D137E3F}" name="Room #" dataDxfId="12">
      <calculatedColumnFormula>Table1[[#This Row],[Room ]]</calculatedColumnFormula>
    </tableColumn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6B89D7-B570-4BB7-BFA7-B33832872901}" name="Table7" displayName="Table7" ref="B37:I75" totalsRowShown="0" headerRowDxfId="11" headerRowBorderDxfId="9" tableBorderDxfId="10" totalsRowBorderDxfId="8">
  <autoFilter ref="B37:I75" xr:uid="{4BE86178-8DC4-420C-8491-55176B173C33}"/>
  <sortState xmlns:xlrd2="http://schemas.microsoft.com/office/spreadsheetml/2017/richdata2" ref="B38:I75">
    <sortCondition ref="B37:B75"/>
  </sortState>
  <tableColumns count="8">
    <tableColumn id="1" xr3:uid="{A8718EC0-ECD9-4E04-AB32-B6D82EF74FB1}" name="Employee" dataDxfId="7"/>
    <tableColumn id="2" xr3:uid="{906DDCAA-2AA0-4883-BB47-FC033C6C73D2}" name="Housing" dataDxfId="6"/>
    <tableColumn id="3" xr3:uid="{D0CC54F0-C09F-459E-ABAA-251077445729}" name="Apt #" dataDxfId="5"/>
    <tableColumn id="4" xr3:uid="{D5BD264F-13F8-4B2A-87F2-2139B1AF2216}" name="Email Address" dataDxfId="4"/>
    <tableColumn id="5" xr3:uid="{3C5E8C40-0FC0-4657-9F9C-0C54606CC0DA}" name="Phone" dataDxfId="3"/>
    <tableColumn id="6" xr3:uid="{CD7D85E8-DBDA-4C9E-B284-4FE62639B44C}" name="Shift" dataDxfId="2"/>
    <tableColumn id="7" xr3:uid="{1B73F969-B76C-41A9-B5B4-592A1B8F08D2}" name="Start Date" dataDxfId="1"/>
    <tableColumn id="8" xr3:uid="{B1AD7F2A-2020-4139-913B-A2B801DE4852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junio.vale32@gmail.com" TargetMode="External"/><Relationship Id="rId1" Type="http://schemas.openxmlformats.org/officeDocument/2006/relationships/hyperlink" Target="mailto:p3547256@gmail.com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vzm4331@gmail.com" TargetMode="Externa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113-9B82-4395-B15E-A67C1EA1046E}">
  <sheetPr codeName="Sheet1">
    <tabColor rgb="FF92D050"/>
    <pageSetUpPr fitToPage="1"/>
  </sheetPr>
  <dimension ref="A1:Y53"/>
  <sheetViews>
    <sheetView zoomScale="90" zoomScaleNormal="90" workbookViewId="0">
      <selection activeCell="J18" sqref="J18"/>
    </sheetView>
  </sheetViews>
  <sheetFormatPr defaultRowHeight="15"/>
  <cols>
    <col min="1" max="1" width="15.7109375" customWidth="1"/>
    <col min="2" max="2" width="10.28515625" bestFit="1" customWidth="1"/>
    <col min="3" max="3" width="10" customWidth="1"/>
    <col min="4" max="4" width="13.42578125" customWidth="1"/>
    <col min="5" max="5" width="30" bestFit="1" customWidth="1"/>
    <col min="6" max="6" width="33" bestFit="1" customWidth="1"/>
    <col min="7" max="7" width="7.7109375" customWidth="1"/>
    <col min="8" max="8" width="7.140625" customWidth="1"/>
    <col min="9" max="9" width="7.7109375" customWidth="1"/>
    <col min="10" max="10" width="32.7109375" customWidth="1"/>
    <col min="11" max="11" width="28.7109375" customWidth="1"/>
    <col min="12" max="12" width="20.28515625" customWidth="1"/>
    <col min="13" max="13" width="16.5703125" customWidth="1"/>
    <col min="14" max="14" width="10.140625" bestFit="1" customWidth="1"/>
    <col min="15" max="15" width="14.140625" bestFit="1" customWidth="1"/>
    <col min="16" max="16" width="27" customWidth="1"/>
    <col min="17" max="17" width="12.140625" customWidth="1"/>
    <col min="20" max="20" width="5" hidden="1" customWidth="1"/>
    <col min="21" max="21" width="40.5703125" customWidth="1"/>
    <col min="22" max="22" width="15.28515625" customWidth="1"/>
    <col min="24" max="24" width="22.7109375" bestFit="1" customWidth="1"/>
    <col min="25" max="25" width="51.7109375" bestFit="1" customWidth="1"/>
  </cols>
  <sheetData>
    <row r="1" spans="1:25" ht="21.75" thickBot="1">
      <c r="A1" s="552" t="s">
        <v>0</v>
      </c>
      <c r="B1" s="552"/>
      <c r="C1" s="553" t="s">
        <v>1</v>
      </c>
      <c r="D1" s="553"/>
      <c r="E1" s="553"/>
      <c r="F1" s="553"/>
      <c r="G1" s="159"/>
      <c r="J1" s="554" t="s">
        <v>2</v>
      </c>
      <c r="K1" s="554"/>
      <c r="L1" s="554"/>
      <c r="M1" s="554"/>
      <c r="N1" s="554"/>
      <c r="O1" s="554"/>
    </row>
    <row r="2" spans="1:25" ht="50.25" customHeight="1" thickBot="1">
      <c r="B2" s="160" t="s">
        <v>3</v>
      </c>
      <c r="C2" s="161" t="s">
        <v>4</v>
      </c>
      <c r="D2" s="162" t="s">
        <v>5</v>
      </c>
      <c r="E2" s="162" t="s">
        <v>6</v>
      </c>
      <c r="F2" s="163" t="s">
        <v>7</v>
      </c>
      <c r="G2" s="164" t="s">
        <v>8</v>
      </c>
      <c r="H2" s="164" t="s">
        <v>9</v>
      </c>
      <c r="I2" s="164" t="s">
        <v>10</v>
      </c>
      <c r="P2" s="165" t="s">
        <v>11</v>
      </c>
      <c r="Q2" s="166" t="s">
        <v>12</v>
      </c>
    </row>
    <row r="3" spans="1:25" ht="35.1" customHeight="1" thickBot="1">
      <c r="A3" s="555">
        <v>1002</v>
      </c>
      <c r="B3" s="556">
        <v>509</v>
      </c>
      <c r="C3" s="167">
        <v>1</v>
      </c>
      <c r="D3" s="168">
        <v>2</v>
      </c>
      <c r="E3" s="169" t="s">
        <v>13</v>
      </c>
      <c r="F3" s="170" t="s">
        <v>14</v>
      </c>
      <c r="G3" s="171">
        <f t="shared" ref="G3:G10" si="0">COUNTA(E3)</f>
        <v>1</v>
      </c>
      <c r="H3" s="172">
        <f t="shared" ref="H3:H10" si="1">COUNTA(E3:F3)</f>
        <v>2</v>
      </c>
      <c r="I3" s="173">
        <f>D3-H3</f>
        <v>0</v>
      </c>
      <c r="J3" s="174" t="str">
        <f>E3</f>
        <v>Eladio Ramos Jr</v>
      </c>
      <c r="K3" s="175" t="str">
        <f>E4</f>
        <v>Lawrence Cortez</v>
      </c>
      <c r="L3" s="176" t="str">
        <f>F3</f>
        <v>Pedro Garcia</v>
      </c>
      <c r="M3" s="175" t="str">
        <f>F4</f>
        <v>Jonathan Ariola</v>
      </c>
      <c r="O3" t="s">
        <v>15</v>
      </c>
      <c r="P3" s="177" t="s">
        <v>16</v>
      </c>
      <c r="Q3" s="90" t="e" cm="1">
        <f t="array" aca="1" ref="Q3" ca="1">COUNT_COLOR(E3:F12,P3)</f>
        <v>#NAME?</v>
      </c>
    </row>
    <row r="4" spans="1:25" ht="35.1" customHeight="1" thickBot="1">
      <c r="A4" s="555"/>
      <c r="B4" s="557"/>
      <c r="C4" s="178">
        <v>2</v>
      </c>
      <c r="D4" s="179">
        <v>2</v>
      </c>
      <c r="E4" s="180" t="s">
        <v>17</v>
      </c>
      <c r="F4" s="181" t="s">
        <v>18</v>
      </c>
      <c r="G4" s="182">
        <f t="shared" si="0"/>
        <v>1</v>
      </c>
      <c r="H4" s="183">
        <f t="shared" si="1"/>
        <v>2</v>
      </c>
      <c r="I4" s="173">
        <f t="shared" ref="I4:I12" si="2">D4-H4</f>
        <v>0</v>
      </c>
      <c r="J4" s="185" t="s">
        <v>19</v>
      </c>
      <c r="K4" s="186"/>
      <c r="L4" s="187"/>
      <c r="M4" s="188"/>
      <c r="O4" t="s">
        <v>20</v>
      </c>
      <c r="P4" s="189" t="s">
        <v>21</v>
      </c>
      <c r="Q4" s="90" t="e" cm="1">
        <f t="array" aca="1" ref="Q4" ca="1">COUNT_COLOR(E3:F12,P4)</f>
        <v>#NAME?</v>
      </c>
    </row>
    <row r="5" spans="1:25" ht="35.1" customHeight="1" thickTop="1" thickBot="1">
      <c r="A5" s="555">
        <v>1003</v>
      </c>
      <c r="B5" s="558">
        <v>510</v>
      </c>
      <c r="C5" s="167">
        <v>1</v>
      </c>
      <c r="D5" s="168">
        <v>2</v>
      </c>
      <c r="E5" s="169"/>
      <c r="F5" s="170" t="s">
        <v>22</v>
      </c>
      <c r="G5" s="171">
        <f t="shared" si="0"/>
        <v>0</v>
      </c>
      <c r="H5" s="172">
        <f t="shared" si="1"/>
        <v>1</v>
      </c>
      <c r="I5" s="173">
        <f t="shared" si="2"/>
        <v>1</v>
      </c>
      <c r="J5" s="190">
        <f>E5</f>
        <v>0</v>
      </c>
      <c r="K5" s="191">
        <f>E6</f>
        <v>0</v>
      </c>
      <c r="L5" s="192" t="s">
        <v>23</v>
      </c>
      <c r="M5" s="193" t="str">
        <f>F6</f>
        <v>Jacob Zepeda</v>
      </c>
    </row>
    <row r="6" spans="1:25" ht="35.1" customHeight="1" thickBot="1">
      <c r="A6" s="555"/>
      <c r="B6" s="559"/>
      <c r="C6" s="178">
        <v>2</v>
      </c>
      <c r="D6" s="179">
        <v>2</v>
      </c>
      <c r="E6" s="180"/>
      <c r="F6" s="181" t="s">
        <v>24</v>
      </c>
      <c r="G6" s="182">
        <f t="shared" si="0"/>
        <v>0</v>
      </c>
      <c r="H6" s="183">
        <f t="shared" si="1"/>
        <v>1</v>
      </c>
      <c r="I6" s="173">
        <f t="shared" si="2"/>
        <v>1</v>
      </c>
      <c r="J6" s="194">
        <v>1</v>
      </c>
      <c r="K6" s="195" t="s">
        <v>19</v>
      </c>
      <c r="L6" s="194">
        <v>1</v>
      </c>
      <c r="M6" s="196">
        <v>2</v>
      </c>
      <c r="N6" s="560" t="s">
        <v>3</v>
      </c>
      <c r="O6" s="550" t="s">
        <v>25</v>
      </c>
      <c r="P6" s="550" t="s">
        <v>26</v>
      </c>
      <c r="Q6" s="551" t="s">
        <v>27</v>
      </c>
      <c r="S6" s="550" t="s">
        <v>3</v>
      </c>
      <c r="T6" s="550" t="s">
        <v>25</v>
      </c>
      <c r="U6" s="550" t="s">
        <v>28</v>
      </c>
      <c r="V6" s="551" t="s">
        <v>29</v>
      </c>
    </row>
    <row r="7" spans="1:25" ht="35.1" customHeight="1" thickTop="1" thickBot="1">
      <c r="A7" s="555">
        <v>1004</v>
      </c>
      <c r="B7" s="556">
        <v>512</v>
      </c>
      <c r="C7" s="167">
        <v>1</v>
      </c>
      <c r="D7" s="168">
        <v>2</v>
      </c>
      <c r="E7" s="169" t="s">
        <v>30</v>
      </c>
      <c r="F7" s="197" t="s">
        <v>31</v>
      </c>
      <c r="G7" s="171">
        <f t="shared" si="0"/>
        <v>1</v>
      </c>
      <c r="H7" s="172">
        <f t="shared" si="1"/>
        <v>2</v>
      </c>
      <c r="I7" s="173">
        <f t="shared" si="2"/>
        <v>0</v>
      </c>
      <c r="J7" s="192" t="s">
        <v>32</v>
      </c>
      <c r="K7" s="193" t="str">
        <f>E8</f>
        <v>Alexis Perez</v>
      </c>
      <c r="L7" s="192" t="str">
        <f>F7</f>
        <v>Xavior R Robinson</v>
      </c>
      <c r="M7" s="193" t="str">
        <f>F8</f>
        <v>Dorian Kyles</v>
      </c>
      <c r="N7" s="560"/>
      <c r="O7" s="550"/>
      <c r="P7" s="550"/>
      <c r="Q7" s="551"/>
      <c r="S7" s="550"/>
      <c r="T7" s="550"/>
      <c r="U7" s="550"/>
      <c r="V7" s="551"/>
    </row>
    <row r="8" spans="1:25" ht="35.1" customHeight="1" thickBot="1">
      <c r="A8" s="555"/>
      <c r="B8" s="557"/>
      <c r="C8" s="178">
        <v>2</v>
      </c>
      <c r="D8" s="179">
        <v>2</v>
      </c>
      <c r="E8" s="170" t="s">
        <v>33</v>
      </c>
      <c r="F8" s="197" t="s">
        <v>34</v>
      </c>
      <c r="G8" s="182">
        <f t="shared" si="0"/>
        <v>1</v>
      </c>
      <c r="H8" s="183">
        <f t="shared" si="1"/>
        <v>2</v>
      </c>
      <c r="I8" s="173">
        <f t="shared" si="2"/>
        <v>0</v>
      </c>
      <c r="J8" s="190"/>
      <c r="K8" s="188"/>
      <c r="L8" s="190"/>
      <c r="M8" s="188"/>
      <c r="N8" s="198"/>
      <c r="O8" s="108"/>
      <c r="P8" s="199"/>
      <c r="Q8" s="158"/>
      <c r="S8" s="200">
        <v>512</v>
      </c>
      <c r="T8" s="108">
        <v>1</v>
      </c>
      <c r="U8" s="201" t="s">
        <v>35</v>
      </c>
      <c r="V8" s="202">
        <v>45931</v>
      </c>
    </row>
    <row r="9" spans="1:25" ht="35.1" customHeight="1" thickTop="1" thickBot="1">
      <c r="A9" s="555">
        <v>1000</v>
      </c>
      <c r="B9" s="556">
        <v>811</v>
      </c>
      <c r="C9" s="167">
        <v>1</v>
      </c>
      <c r="D9" s="168">
        <v>2</v>
      </c>
      <c r="E9" s="203" t="s">
        <v>36</v>
      </c>
      <c r="F9" s="204" t="s">
        <v>37</v>
      </c>
      <c r="G9" s="171">
        <f t="shared" si="0"/>
        <v>1</v>
      </c>
      <c r="H9" s="172">
        <f t="shared" si="1"/>
        <v>2</v>
      </c>
      <c r="I9" s="173">
        <f t="shared" si="2"/>
        <v>0</v>
      </c>
      <c r="J9" s="192" t="str">
        <f>E9</f>
        <v>Moices Bernal</v>
      </c>
      <c r="K9" s="193" t="str">
        <f>E10</f>
        <v>Jacob C Ferguson</v>
      </c>
      <c r="L9" s="192" t="str">
        <f>F9</f>
        <v>Gabriel   Romero</v>
      </c>
      <c r="M9" s="193" t="s">
        <v>38</v>
      </c>
      <c r="N9" s="198"/>
      <c r="O9" s="108"/>
      <c r="P9" s="199"/>
      <c r="Q9" s="158"/>
      <c r="S9" s="200">
        <v>512</v>
      </c>
      <c r="T9" s="108">
        <v>1</v>
      </c>
      <c r="U9" s="201" t="s">
        <v>39</v>
      </c>
      <c r="V9" s="202">
        <v>45931</v>
      </c>
    </row>
    <row r="10" spans="1:25" ht="35.1" customHeight="1" thickBot="1">
      <c r="A10" s="555"/>
      <c r="B10" s="557"/>
      <c r="C10" s="178">
        <v>2</v>
      </c>
      <c r="D10" s="179">
        <v>2</v>
      </c>
      <c r="E10" s="205" t="s">
        <v>40</v>
      </c>
      <c r="F10" s="197"/>
      <c r="G10" s="182">
        <f t="shared" si="0"/>
        <v>1</v>
      </c>
      <c r="H10" s="183">
        <f t="shared" si="1"/>
        <v>1</v>
      </c>
      <c r="I10" s="173">
        <f t="shared" si="2"/>
        <v>1</v>
      </c>
      <c r="J10" s="190"/>
      <c r="K10" s="188"/>
      <c r="L10" s="190"/>
      <c r="M10" s="188"/>
      <c r="N10" s="198"/>
      <c r="O10" s="108"/>
      <c r="P10" s="199"/>
      <c r="Q10" s="158"/>
      <c r="S10" s="200">
        <v>512</v>
      </c>
      <c r="T10" s="108">
        <v>2</v>
      </c>
      <c r="U10" s="206" t="s">
        <v>31</v>
      </c>
      <c r="V10" s="202">
        <v>45931</v>
      </c>
    </row>
    <row r="11" spans="1:25" ht="35.1" customHeight="1" thickTop="1" thickBot="1">
      <c r="A11" s="555">
        <v>1001</v>
      </c>
      <c r="B11" s="565">
        <v>812</v>
      </c>
      <c r="C11" s="207">
        <v>1</v>
      </c>
      <c r="D11" s="208">
        <v>2</v>
      </c>
      <c r="E11" s="209" t="s">
        <v>41</v>
      </c>
      <c r="F11" s="210" t="s">
        <v>42</v>
      </c>
      <c r="G11" s="171">
        <f>COUNTA(E11)</f>
        <v>1</v>
      </c>
      <c r="H11" s="172">
        <f>COUNTA(E11:F11)</f>
        <v>2</v>
      </c>
      <c r="I11" s="173">
        <f t="shared" si="2"/>
        <v>0</v>
      </c>
      <c r="J11" s="211" t="str">
        <f>E11</f>
        <v>Abein Flores</v>
      </c>
      <c r="K11" s="212" t="str">
        <f>E12</f>
        <v xml:space="preserve">Antonio Hernandez </v>
      </c>
      <c r="L11" s="192" t="str">
        <f>F11</f>
        <v>Jose Castro</v>
      </c>
      <c r="M11" s="213" t="str">
        <f>F12</f>
        <v>Ismael Meza</v>
      </c>
      <c r="N11" s="198"/>
      <c r="O11" s="108"/>
      <c r="P11" s="199"/>
      <c r="Q11" s="158"/>
      <c r="S11" s="200">
        <v>512</v>
      </c>
      <c r="T11" s="108">
        <v>2</v>
      </c>
      <c r="U11" s="206" t="s">
        <v>43</v>
      </c>
      <c r="V11" s="202">
        <v>45931</v>
      </c>
    </row>
    <row r="12" spans="1:25" ht="35.1" customHeight="1" thickBot="1">
      <c r="A12" s="555"/>
      <c r="B12" s="566"/>
      <c r="C12" s="178">
        <v>2</v>
      </c>
      <c r="D12" s="179">
        <v>2</v>
      </c>
      <c r="E12" s="205" t="s">
        <v>44</v>
      </c>
      <c r="F12" s="197" t="s">
        <v>45</v>
      </c>
      <c r="G12" s="182">
        <f>COUNTA(E12)</f>
        <v>1</v>
      </c>
      <c r="H12" s="183">
        <f>COUNTA(E12:F12)</f>
        <v>2</v>
      </c>
      <c r="I12" s="173">
        <f t="shared" si="2"/>
        <v>0</v>
      </c>
      <c r="J12" s="214" t="s">
        <v>46</v>
      </c>
      <c r="K12" s="215" t="s">
        <v>47</v>
      </c>
      <c r="L12" s="185" t="s">
        <v>48</v>
      </c>
      <c r="M12" s="216"/>
      <c r="N12" s="198"/>
      <c r="O12" s="108"/>
      <c r="P12" s="199"/>
      <c r="Q12" s="158"/>
      <c r="R12" s="35"/>
      <c r="S12" s="200">
        <v>811</v>
      </c>
      <c r="T12" s="108">
        <v>1</v>
      </c>
      <c r="U12" s="206" t="s">
        <v>49</v>
      </c>
      <c r="V12" s="202">
        <v>45931</v>
      </c>
    </row>
    <row r="13" spans="1:25" ht="21.75" hidden="1" customHeight="1">
      <c r="B13" s="217"/>
      <c r="C13" s="207">
        <v>1</v>
      </c>
      <c r="D13" s="218">
        <v>2</v>
      </c>
      <c r="E13" s="219"/>
      <c r="F13" s="220"/>
      <c r="G13" s="171">
        <f>COUNTA(E13)</f>
        <v>0</v>
      </c>
      <c r="H13" s="172">
        <f>COUNTA(E13:F13)</f>
        <v>0</v>
      </c>
      <c r="I13" s="173">
        <f>H13-D13</f>
        <v>-2</v>
      </c>
      <c r="N13" s="108"/>
      <c r="O13" s="108"/>
      <c r="P13" s="199"/>
      <c r="Q13" s="158"/>
      <c r="S13" s="200">
        <v>811</v>
      </c>
      <c r="T13" s="108">
        <v>1</v>
      </c>
      <c r="U13" s="206" t="s">
        <v>40</v>
      </c>
      <c r="V13" s="202">
        <v>45931</v>
      </c>
      <c r="X13" s="90" t="s">
        <v>50</v>
      </c>
      <c r="Y13" t="s">
        <v>51</v>
      </c>
    </row>
    <row r="14" spans="1:25" ht="21.75" hidden="1" customHeight="1" thickBot="1">
      <c r="B14" s="221"/>
      <c r="C14" s="178">
        <v>2</v>
      </c>
      <c r="D14" s="222">
        <v>2</v>
      </c>
      <c r="E14" s="223"/>
      <c r="F14" s="224"/>
      <c r="G14" s="182">
        <f>COUNTA(E14)</f>
        <v>0</v>
      </c>
      <c r="H14" s="183">
        <f>COUNTA(E14:F14)</f>
        <v>0</v>
      </c>
      <c r="I14" s="184">
        <f>H14-D14</f>
        <v>-2</v>
      </c>
      <c r="N14" s="108"/>
      <c r="O14" s="108"/>
      <c r="P14" s="199"/>
      <c r="Q14" s="158"/>
      <c r="S14" s="200">
        <v>811</v>
      </c>
      <c r="T14" s="108">
        <v>2</v>
      </c>
      <c r="U14" s="206" t="s">
        <v>37</v>
      </c>
      <c r="V14" s="202">
        <v>45931</v>
      </c>
      <c r="X14" s="90" t="s">
        <v>52</v>
      </c>
      <c r="Y14" t="s">
        <v>53</v>
      </c>
    </row>
    <row r="15" spans="1:25" ht="21.75" customHeight="1" thickBot="1">
      <c r="A15" s="561" t="s">
        <v>54</v>
      </c>
      <c r="B15" s="563">
        <f>COUNTA(B3:B12)</f>
        <v>5</v>
      </c>
      <c r="C15" s="567">
        <f>COUNTA(C3:C12)</f>
        <v>10</v>
      </c>
      <c r="D15" s="567">
        <f>SUM(D3:D12)</f>
        <v>20</v>
      </c>
      <c r="E15" s="159"/>
      <c r="F15" s="159"/>
      <c r="G15" s="569">
        <f>SUM(G3:G12)</f>
        <v>8</v>
      </c>
      <c r="H15" s="569">
        <f>SUM(H3:H12)</f>
        <v>17</v>
      </c>
      <c r="I15" s="569">
        <f>SUM(I3:I12)</f>
        <v>3</v>
      </c>
      <c r="N15" s="108"/>
      <c r="O15" s="108"/>
      <c r="P15" s="199"/>
      <c r="Q15" s="158"/>
      <c r="S15" s="225">
        <v>811</v>
      </c>
      <c r="T15" s="226">
        <v>2</v>
      </c>
      <c r="U15" s="227" t="s">
        <v>55</v>
      </c>
      <c r="V15" s="228">
        <v>45931</v>
      </c>
      <c r="X15" s="90" t="s">
        <v>56</v>
      </c>
      <c r="Y15" t="s">
        <v>51</v>
      </c>
    </row>
    <row r="16" spans="1:25" ht="21.75" customHeight="1" thickTop="1" thickBot="1">
      <c r="A16" s="562"/>
      <c r="B16" s="564"/>
      <c r="C16" s="568"/>
      <c r="D16" s="568"/>
      <c r="E16" s="159"/>
      <c r="F16" s="159"/>
      <c r="G16" s="570"/>
      <c r="H16" s="570"/>
      <c r="I16" s="570"/>
      <c r="N16" s="108"/>
      <c r="O16" s="108"/>
      <c r="P16" s="199"/>
      <c r="Q16" s="158"/>
      <c r="S16" s="229">
        <v>812</v>
      </c>
      <c r="T16" s="230">
        <v>1</v>
      </c>
      <c r="U16" s="231" t="s">
        <v>41</v>
      </c>
      <c r="V16" s="232">
        <v>45934</v>
      </c>
      <c r="X16" s="124" t="s">
        <v>57</v>
      </c>
      <c r="Y16" s="35" t="s">
        <v>58</v>
      </c>
    </row>
    <row r="17" spans="2:25" ht="21.75" customHeight="1" thickBot="1">
      <c r="B17" s="159"/>
      <c r="C17" s="159"/>
      <c r="D17" s="159"/>
      <c r="E17" s="159"/>
      <c r="F17" s="159"/>
      <c r="G17" s="233" t="s">
        <v>8</v>
      </c>
      <c r="H17" s="233" t="s">
        <v>9</v>
      </c>
      <c r="I17" s="233" t="s">
        <v>10</v>
      </c>
      <c r="N17" s="108"/>
      <c r="O17" s="108"/>
      <c r="P17" s="199"/>
      <c r="Q17" s="158"/>
      <c r="S17" s="234">
        <v>812</v>
      </c>
      <c r="T17" s="108">
        <v>1</v>
      </c>
      <c r="U17" s="206" t="s">
        <v>44</v>
      </c>
      <c r="V17" s="202">
        <v>45934</v>
      </c>
      <c r="X17" s="124" t="s">
        <v>59</v>
      </c>
      <c r="Y17" s="35" t="s">
        <v>58</v>
      </c>
    </row>
    <row r="18" spans="2:25" ht="21.75" customHeight="1" thickBot="1">
      <c r="C18" s="159"/>
      <c r="D18" s="235"/>
      <c r="E18" s="236" t="s">
        <v>60</v>
      </c>
      <c r="F18" s="237" t="s">
        <v>61</v>
      </c>
      <c r="G18" s="159"/>
      <c r="J18" s="238"/>
      <c r="K18" s="238"/>
      <c r="L18" s="238"/>
      <c r="N18" s="108"/>
      <c r="O18" s="108"/>
      <c r="P18" s="199"/>
      <c r="Q18" s="158"/>
      <c r="S18" s="234">
        <v>812</v>
      </c>
      <c r="T18" s="108">
        <v>2</v>
      </c>
      <c r="U18" s="206" t="s">
        <v>42</v>
      </c>
      <c r="V18" s="202">
        <v>45934</v>
      </c>
      <c r="X18" s="90" t="s">
        <v>62</v>
      </c>
      <c r="Y18" t="s">
        <v>53</v>
      </c>
    </row>
    <row r="19" spans="2:25" ht="21.75" customHeight="1">
      <c r="C19" s="159"/>
      <c r="D19" s="239">
        <v>1</v>
      </c>
      <c r="E19" s="240" t="s">
        <v>30</v>
      </c>
      <c r="F19" s="241" t="s">
        <v>41</v>
      </c>
      <c r="G19" s="159"/>
      <c r="J19" s="159"/>
      <c r="K19" s="159"/>
      <c r="N19" s="108"/>
      <c r="O19" s="108"/>
      <c r="P19" s="199"/>
      <c r="Q19" s="158"/>
      <c r="S19" s="234">
        <v>812</v>
      </c>
      <c r="T19" s="108">
        <v>2</v>
      </c>
      <c r="U19" s="206" t="s">
        <v>45</v>
      </c>
      <c r="V19" s="202">
        <v>45934</v>
      </c>
    </row>
    <row r="20" spans="2:25" ht="21.75" customHeight="1">
      <c r="C20" s="159"/>
      <c r="D20" s="242">
        <f t="shared" ref="D20:D30" si="3">1+D19</f>
        <v>2</v>
      </c>
      <c r="E20" s="240" t="s">
        <v>17</v>
      </c>
      <c r="F20" s="243" t="s">
        <v>44</v>
      </c>
      <c r="G20" s="159"/>
      <c r="J20" s="159"/>
      <c r="K20" s="159"/>
      <c r="N20" s="108"/>
      <c r="O20" s="108"/>
      <c r="P20" s="199"/>
      <c r="Q20" s="158"/>
      <c r="S20" s="234">
        <v>510</v>
      </c>
      <c r="T20" s="108">
        <v>1</v>
      </c>
      <c r="U20" s="201" t="s">
        <v>63</v>
      </c>
      <c r="V20" s="202">
        <v>45934</v>
      </c>
    </row>
    <row r="21" spans="2:25" ht="21.75" customHeight="1">
      <c r="C21" s="159"/>
      <c r="D21" s="242">
        <f t="shared" si="3"/>
        <v>3</v>
      </c>
      <c r="E21" s="240" t="s">
        <v>14</v>
      </c>
      <c r="F21" s="243" t="s">
        <v>42</v>
      </c>
      <c r="G21" s="159"/>
      <c r="J21" s="159"/>
      <c r="K21" s="159"/>
      <c r="N21" s="108"/>
      <c r="O21" s="108"/>
      <c r="P21" s="199"/>
      <c r="Q21" s="244"/>
      <c r="R21" s="35"/>
      <c r="S21" s="234">
        <v>510</v>
      </c>
      <c r="T21" s="108">
        <v>1</v>
      </c>
      <c r="U21" s="201" t="s">
        <v>64</v>
      </c>
      <c r="V21" s="202">
        <v>45934</v>
      </c>
    </row>
    <row r="22" spans="2:25" ht="21.75" customHeight="1">
      <c r="C22" s="159"/>
      <c r="D22" s="242">
        <f t="shared" si="3"/>
        <v>4</v>
      </c>
      <c r="E22" s="240" t="s">
        <v>65</v>
      </c>
      <c r="F22" s="243" t="s">
        <v>45</v>
      </c>
      <c r="G22" s="159"/>
      <c r="J22" s="159"/>
      <c r="K22" s="159"/>
      <c r="N22" s="108"/>
      <c r="O22" s="108"/>
      <c r="P22" s="199"/>
      <c r="Q22" s="158"/>
      <c r="S22" s="234">
        <v>510</v>
      </c>
      <c r="T22" s="108">
        <v>2</v>
      </c>
      <c r="U22" s="201" t="s">
        <v>22</v>
      </c>
      <c r="V22" s="202">
        <v>45934</v>
      </c>
    </row>
    <row r="23" spans="2:25" ht="21.75" customHeight="1">
      <c r="C23" s="159"/>
      <c r="D23" s="242">
        <f t="shared" si="3"/>
        <v>5</v>
      </c>
      <c r="E23" s="240"/>
      <c r="F23" s="243"/>
      <c r="G23" s="159"/>
      <c r="J23" s="159"/>
      <c r="N23" s="108"/>
      <c r="O23" s="108"/>
      <c r="P23" s="199"/>
      <c r="Q23" s="158"/>
      <c r="S23" s="234">
        <v>510</v>
      </c>
      <c r="T23" s="108">
        <v>2</v>
      </c>
      <c r="U23" s="201" t="s">
        <v>24</v>
      </c>
      <c r="V23" s="202">
        <v>45934</v>
      </c>
    </row>
    <row r="24" spans="2:25" ht="21.75" customHeight="1">
      <c r="C24" s="159"/>
      <c r="D24" s="242">
        <f t="shared" si="3"/>
        <v>6</v>
      </c>
      <c r="E24" s="240"/>
      <c r="F24" s="243"/>
      <c r="J24" s="159"/>
      <c r="N24" s="108"/>
      <c r="O24" s="108"/>
      <c r="P24" s="199"/>
      <c r="Q24" s="158"/>
      <c r="S24" s="234">
        <v>509</v>
      </c>
      <c r="T24" s="108">
        <v>1</v>
      </c>
      <c r="U24" s="201" t="s">
        <v>13</v>
      </c>
      <c r="V24" s="202">
        <v>45934</v>
      </c>
    </row>
    <row r="25" spans="2:25" ht="21.75" customHeight="1">
      <c r="C25" s="159"/>
      <c r="D25" s="242">
        <f t="shared" si="3"/>
        <v>7</v>
      </c>
      <c r="E25" s="240"/>
      <c r="F25" s="243"/>
      <c r="J25" s="159"/>
      <c r="N25" s="108"/>
      <c r="O25" s="108"/>
      <c r="P25" s="199"/>
      <c r="Q25" s="244"/>
      <c r="S25" s="234">
        <v>509</v>
      </c>
      <c r="T25" s="108">
        <v>1</v>
      </c>
      <c r="U25" s="201" t="s">
        <v>17</v>
      </c>
      <c r="V25" s="202">
        <v>45934</v>
      </c>
    </row>
    <row r="26" spans="2:25" ht="21.75" customHeight="1">
      <c r="C26" s="159"/>
      <c r="D26" s="242">
        <f t="shared" si="3"/>
        <v>8</v>
      </c>
      <c r="E26" s="240"/>
      <c r="F26" s="243"/>
      <c r="J26" s="159"/>
      <c r="N26" s="90"/>
      <c r="O26" s="90"/>
      <c r="P26" s="90"/>
      <c r="Q26" s="90"/>
      <c r="S26" s="234">
        <v>509</v>
      </c>
      <c r="T26" s="108">
        <v>2</v>
      </c>
      <c r="U26" s="201" t="s">
        <v>14</v>
      </c>
      <c r="V26" s="202">
        <v>45934</v>
      </c>
    </row>
    <row r="27" spans="2:25" ht="21.75" customHeight="1">
      <c r="C27" s="159"/>
      <c r="D27" s="242">
        <f t="shared" si="3"/>
        <v>9</v>
      </c>
      <c r="E27" s="240"/>
      <c r="F27" s="243"/>
      <c r="J27" s="159"/>
      <c r="N27" s="90"/>
      <c r="O27" s="90"/>
      <c r="P27" s="90"/>
      <c r="Q27" s="90"/>
      <c r="S27" s="234">
        <v>509</v>
      </c>
      <c r="T27" s="108">
        <v>2</v>
      </c>
      <c r="U27" s="201" t="s">
        <v>18</v>
      </c>
      <c r="V27" s="202">
        <v>45934</v>
      </c>
    </row>
    <row r="28" spans="2:25" ht="21.75" customHeight="1">
      <c r="C28" s="159"/>
      <c r="D28" s="242">
        <f t="shared" si="3"/>
        <v>10</v>
      </c>
      <c r="E28" s="240"/>
      <c r="F28" s="243"/>
      <c r="J28" s="159"/>
      <c r="U28" t="s">
        <v>2</v>
      </c>
    </row>
    <row r="29" spans="2:25" ht="21.75" customHeight="1">
      <c r="C29" s="159"/>
      <c r="D29" s="242">
        <f t="shared" si="3"/>
        <v>11</v>
      </c>
      <c r="E29" s="240"/>
      <c r="F29" s="243"/>
      <c r="J29" s="159"/>
    </row>
    <row r="30" spans="2:25" ht="21.75" customHeight="1" thickBot="1">
      <c r="C30" s="159"/>
      <c r="D30" s="245">
        <f t="shared" si="3"/>
        <v>12</v>
      </c>
      <c r="E30" s="246" t="s">
        <v>66</v>
      </c>
      <c r="F30" s="247" t="s">
        <v>66</v>
      </c>
      <c r="J30" s="248"/>
      <c r="S30" s="249"/>
    </row>
    <row r="31" spans="2:25" ht="21.75" customHeight="1" thickBot="1">
      <c r="B31" s="159"/>
      <c r="C31" s="159"/>
      <c r="D31" s="159"/>
      <c r="E31" s="159"/>
      <c r="F31" s="159"/>
    </row>
    <row r="32" spans="2:25" ht="21.75" customHeight="1" thickBot="1">
      <c r="B32" s="250" t="s">
        <v>67</v>
      </c>
      <c r="C32" s="251"/>
      <c r="D32" s="252"/>
      <c r="E32" s="253" t="s">
        <v>68</v>
      </c>
      <c r="F32" s="254" t="s">
        <v>69</v>
      </c>
      <c r="J32" s="151"/>
      <c r="K32" s="236" t="s">
        <v>70</v>
      </c>
      <c r="L32" s="255" t="s">
        <v>71</v>
      </c>
      <c r="M32" s="256" t="s">
        <v>72</v>
      </c>
      <c r="N32" s="256" t="s">
        <v>73</v>
      </c>
      <c r="O32" s="256" t="s">
        <v>74</v>
      </c>
      <c r="P32" s="256" t="s">
        <v>75</v>
      </c>
    </row>
    <row r="33" spans="2:16" ht="21.75" customHeight="1">
      <c r="B33" s="207" t="s">
        <v>76</v>
      </c>
      <c r="C33" s="208"/>
      <c r="D33" s="218"/>
      <c r="E33" s="257" t="s">
        <v>64</v>
      </c>
      <c r="F33" s="258">
        <v>46046</v>
      </c>
      <c r="K33" s="259" t="s">
        <v>40</v>
      </c>
      <c r="L33" s="260" t="s">
        <v>77</v>
      </c>
      <c r="M33" s="261" t="s">
        <v>78</v>
      </c>
      <c r="N33" s="261" t="s">
        <v>79</v>
      </c>
      <c r="O33" s="261">
        <v>2005</v>
      </c>
      <c r="P33" s="262" t="s">
        <v>80</v>
      </c>
    </row>
    <row r="34" spans="2:16" ht="21">
      <c r="B34" s="280" t="s">
        <v>81</v>
      </c>
      <c r="C34" s="281"/>
      <c r="D34" s="282"/>
      <c r="E34" s="283" t="s">
        <v>82</v>
      </c>
      <c r="F34" s="285">
        <v>46074</v>
      </c>
      <c r="K34" s="265" t="s">
        <v>33</v>
      </c>
      <c r="L34" s="266" t="s">
        <v>83</v>
      </c>
      <c r="M34" s="267" t="s">
        <v>84</v>
      </c>
      <c r="N34" s="267" t="s">
        <v>85</v>
      </c>
      <c r="O34" s="267">
        <v>2015</v>
      </c>
      <c r="P34" s="268" t="s">
        <v>86</v>
      </c>
    </row>
    <row r="35" spans="2:16" ht="21">
      <c r="B35" s="280" t="s">
        <v>76</v>
      </c>
      <c r="C35" s="281"/>
      <c r="D35" s="282"/>
      <c r="E35" s="283" t="s">
        <v>63</v>
      </c>
      <c r="F35" s="285">
        <v>46101</v>
      </c>
      <c r="K35" s="265" t="s">
        <v>63</v>
      </c>
      <c r="L35" s="266" t="s">
        <v>87</v>
      </c>
      <c r="M35" s="267" t="s">
        <v>88</v>
      </c>
      <c r="N35" s="269" t="s">
        <v>89</v>
      </c>
      <c r="O35" s="267">
        <v>2012</v>
      </c>
      <c r="P35" s="268" t="s">
        <v>80</v>
      </c>
    </row>
    <row r="36" spans="2:16" ht="21">
      <c r="B36" s="280"/>
      <c r="C36" s="281"/>
      <c r="D36" s="282"/>
      <c r="E36" s="283"/>
      <c r="F36" s="284"/>
      <c r="K36" s="265" t="s">
        <v>24</v>
      </c>
      <c r="L36" s="266" t="s">
        <v>90</v>
      </c>
      <c r="M36" s="267" t="s">
        <v>91</v>
      </c>
      <c r="N36" s="269" t="s">
        <v>92</v>
      </c>
      <c r="O36" s="267">
        <v>2012</v>
      </c>
      <c r="P36" s="268" t="s">
        <v>93</v>
      </c>
    </row>
    <row r="37" spans="2:16" ht="21">
      <c r="B37" s="280"/>
      <c r="C37" s="281"/>
      <c r="D37" s="282"/>
      <c r="E37" s="283"/>
      <c r="F37" s="284"/>
      <c r="K37" s="265" t="s">
        <v>22</v>
      </c>
      <c r="L37" s="266" t="s">
        <v>94</v>
      </c>
      <c r="M37" s="267" t="s">
        <v>95</v>
      </c>
      <c r="N37" s="270" t="s">
        <v>89</v>
      </c>
      <c r="O37" s="267">
        <v>2011</v>
      </c>
      <c r="P37" s="268" t="s">
        <v>96</v>
      </c>
    </row>
    <row r="38" spans="2:16" ht="21">
      <c r="B38" s="280"/>
      <c r="C38" s="281"/>
      <c r="D38" s="282"/>
      <c r="E38" s="283"/>
      <c r="F38" s="284"/>
      <c r="K38" s="265" t="s">
        <v>34</v>
      </c>
      <c r="L38" s="266" t="s">
        <v>97</v>
      </c>
      <c r="M38" s="267" t="s">
        <v>88</v>
      </c>
      <c r="N38" s="269" t="s">
        <v>98</v>
      </c>
      <c r="O38" s="267">
        <v>2016</v>
      </c>
      <c r="P38" s="268" t="s">
        <v>96</v>
      </c>
    </row>
    <row r="39" spans="2:16" ht="21">
      <c r="B39" s="280"/>
      <c r="C39" s="281"/>
      <c r="D39" s="282"/>
      <c r="E39" s="283"/>
      <c r="F39" s="284"/>
      <c r="K39" s="265"/>
      <c r="L39" s="266"/>
      <c r="M39" s="267"/>
      <c r="N39" s="269"/>
      <c r="O39" s="267"/>
      <c r="P39" s="268"/>
    </row>
    <row r="40" spans="2:16" ht="21">
      <c r="B40" s="280"/>
      <c r="C40" s="281"/>
      <c r="D40" s="282"/>
      <c r="E40" s="283"/>
      <c r="F40" s="284"/>
      <c r="K40" s="265"/>
      <c r="L40" s="266"/>
      <c r="M40" s="267"/>
      <c r="N40" s="267"/>
      <c r="O40" s="267"/>
      <c r="P40" s="268"/>
    </row>
    <row r="41" spans="2:16" ht="21">
      <c r="B41" s="280"/>
      <c r="C41" s="281"/>
      <c r="D41" s="282"/>
      <c r="E41" s="283"/>
      <c r="F41" s="284"/>
      <c r="K41" s="265"/>
      <c r="L41" s="266"/>
      <c r="M41" s="267"/>
      <c r="N41" s="267"/>
      <c r="O41" s="267"/>
      <c r="P41" s="268"/>
    </row>
    <row r="42" spans="2:16" ht="21">
      <c r="B42" s="280"/>
      <c r="C42" s="281"/>
      <c r="D42" s="282"/>
      <c r="E42" s="283"/>
      <c r="F42" s="284"/>
      <c r="K42" s="265"/>
      <c r="L42" s="266"/>
      <c r="M42" s="267"/>
      <c r="N42" s="267"/>
      <c r="O42" s="267"/>
      <c r="P42" s="268"/>
    </row>
    <row r="43" spans="2:16" ht="21">
      <c r="B43" s="280"/>
      <c r="C43" s="281"/>
      <c r="D43" s="282"/>
      <c r="E43" s="283"/>
      <c r="F43" s="284"/>
      <c r="K43" s="265"/>
      <c r="L43" s="266"/>
      <c r="M43" s="267"/>
      <c r="N43" s="267"/>
      <c r="O43" s="267"/>
      <c r="P43" s="268"/>
    </row>
    <row r="44" spans="2:16" ht="21">
      <c r="B44" s="280"/>
      <c r="C44" s="281"/>
      <c r="D44" s="282"/>
      <c r="E44" s="283"/>
      <c r="F44" s="284"/>
      <c r="K44" s="265"/>
      <c r="L44" s="266"/>
      <c r="M44" s="267"/>
      <c r="N44" s="267"/>
      <c r="O44" s="267"/>
      <c r="P44" s="268"/>
    </row>
    <row r="45" spans="2:16" ht="21">
      <c r="B45" s="280"/>
      <c r="C45" s="281"/>
      <c r="D45" s="282"/>
      <c r="E45" s="283"/>
      <c r="F45" s="284"/>
      <c r="K45" s="265"/>
      <c r="L45" s="266"/>
      <c r="M45" s="267"/>
      <c r="N45" s="267"/>
      <c r="O45" s="267"/>
      <c r="P45" s="268"/>
    </row>
    <row r="46" spans="2:16" ht="21">
      <c r="B46" s="280"/>
      <c r="C46" s="281"/>
      <c r="D46" s="282"/>
      <c r="E46" s="283"/>
      <c r="F46" s="284"/>
      <c r="K46" s="265"/>
      <c r="L46" s="266"/>
      <c r="M46" s="267"/>
      <c r="N46" s="267"/>
      <c r="O46" s="267"/>
      <c r="P46" s="268"/>
    </row>
    <row r="47" spans="2:16" ht="21">
      <c r="B47" s="21"/>
      <c r="C47" s="22"/>
      <c r="D47" s="23"/>
      <c r="E47" s="263"/>
      <c r="F47" s="264"/>
      <c r="K47" s="265"/>
      <c r="L47" s="266"/>
      <c r="M47" s="267"/>
      <c r="N47" s="267"/>
      <c r="O47" s="267"/>
      <c r="P47" s="268"/>
    </row>
    <row r="48" spans="2:16" ht="21">
      <c r="B48" s="21"/>
      <c r="C48" s="22"/>
      <c r="D48" s="23"/>
      <c r="E48" s="263"/>
      <c r="F48" s="264"/>
      <c r="K48" s="265"/>
      <c r="L48" s="266"/>
      <c r="M48" s="267"/>
      <c r="N48" s="267"/>
      <c r="O48" s="267"/>
      <c r="P48" s="268"/>
    </row>
    <row r="49" spans="2:16" ht="21">
      <c r="B49" s="21"/>
      <c r="C49" s="22"/>
      <c r="D49" s="23"/>
      <c r="E49" s="263"/>
      <c r="F49" s="264"/>
      <c r="K49" s="265"/>
      <c r="L49" s="266"/>
      <c r="M49" s="267"/>
      <c r="N49" s="267"/>
      <c r="O49" s="267"/>
      <c r="P49" s="268"/>
    </row>
    <row r="50" spans="2:16" ht="21">
      <c r="B50" s="21"/>
      <c r="C50" s="22"/>
      <c r="D50" s="23"/>
      <c r="E50" s="263"/>
      <c r="F50" s="264"/>
      <c r="K50" s="265"/>
      <c r="L50" s="266"/>
      <c r="M50" s="267"/>
      <c r="N50" s="267"/>
      <c r="O50" s="267"/>
      <c r="P50" s="268"/>
    </row>
    <row r="51" spans="2:16" ht="21">
      <c r="B51" s="21"/>
      <c r="C51" s="22"/>
      <c r="D51" s="23"/>
      <c r="E51" s="263"/>
      <c r="F51" s="264"/>
      <c r="K51" s="265"/>
      <c r="L51" s="266"/>
      <c r="M51" s="267"/>
      <c r="N51" s="267"/>
      <c r="O51" s="267"/>
      <c r="P51" s="268"/>
    </row>
    <row r="52" spans="2:16" ht="21">
      <c r="B52" s="21"/>
      <c r="C52" s="22"/>
      <c r="D52" s="23"/>
      <c r="E52" s="263"/>
      <c r="F52" s="264"/>
      <c r="K52" s="265"/>
      <c r="L52" s="266"/>
      <c r="M52" s="267"/>
      <c r="N52" s="267"/>
      <c r="O52" s="267"/>
      <c r="P52" s="268"/>
    </row>
    <row r="53" spans="2:16" ht="21.75" thickBot="1">
      <c r="B53" s="271"/>
      <c r="C53" s="272"/>
      <c r="D53" s="273"/>
      <c r="E53" s="274"/>
      <c r="F53" s="275"/>
      <c r="K53" s="276"/>
      <c r="L53" s="277"/>
      <c r="M53" s="278"/>
      <c r="N53" s="278"/>
      <c r="O53" s="278"/>
      <c r="P53" s="279"/>
    </row>
  </sheetData>
  <mergeCells count="28">
    <mergeCell ref="A15:A16"/>
    <mergeCell ref="B15:B16"/>
    <mergeCell ref="P6:P7"/>
    <mergeCell ref="Q6:Q7"/>
    <mergeCell ref="S6:S7"/>
    <mergeCell ref="B7:B8"/>
    <mergeCell ref="A9:A10"/>
    <mergeCell ref="B9:B10"/>
    <mergeCell ref="A11:A12"/>
    <mergeCell ref="B11:B12"/>
    <mergeCell ref="C15:C16"/>
    <mergeCell ref="D15:D16"/>
    <mergeCell ref="G15:G16"/>
    <mergeCell ref="H15:H16"/>
    <mergeCell ref="I15:I16"/>
    <mergeCell ref="T6:T7"/>
    <mergeCell ref="U6:U7"/>
    <mergeCell ref="V6:V7"/>
    <mergeCell ref="A1:B1"/>
    <mergeCell ref="C1:F1"/>
    <mergeCell ref="J1:O1"/>
    <mergeCell ref="A3:A4"/>
    <mergeCell ref="B3:B4"/>
    <mergeCell ref="A5:A6"/>
    <mergeCell ref="B5:B6"/>
    <mergeCell ref="N6:N7"/>
    <mergeCell ref="O6:O7"/>
    <mergeCell ref="A7:A8"/>
  </mergeCells>
  <pageMargins left="0.2" right="0.2" top="0.75" bottom="0.75" header="0.3" footer="0.3"/>
  <pageSetup scale="4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6059-FFF5-4555-95E6-E81A8EA735D0}">
  <sheetPr>
    <tabColor rgb="FF92D050"/>
  </sheetPr>
  <dimension ref="A2:X69"/>
  <sheetViews>
    <sheetView zoomScale="140" zoomScaleNormal="140" workbookViewId="0">
      <selection activeCell="A6" sqref="A6:A7"/>
    </sheetView>
  </sheetViews>
  <sheetFormatPr defaultRowHeight="15"/>
  <cols>
    <col min="6" max="6" width="26.5703125" customWidth="1"/>
    <col min="7" max="7" width="27" customWidth="1"/>
    <col min="11" max="11" width="3.28515625" customWidth="1"/>
    <col min="12" max="12" width="3" customWidth="1"/>
    <col min="13" max="13" width="3.140625" customWidth="1"/>
    <col min="14" max="14" width="34.71093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</cols>
  <sheetData>
    <row r="2" spans="1:24" ht="30.75" thickBot="1">
      <c r="N2" s="323" t="s">
        <v>99</v>
      </c>
      <c r="O2" s="166" t="s">
        <v>100</v>
      </c>
      <c r="P2" s="286"/>
      <c r="Q2" s="324" t="s">
        <v>101</v>
      </c>
      <c r="R2" s="166" t="s">
        <v>102</v>
      </c>
      <c r="T2" s="323" t="s">
        <v>103</v>
      </c>
      <c r="U2" s="166" t="s">
        <v>100</v>
      </c>
      <c r="V2" s="286"/>
      <c r="W2" s="324" t="s">
        <v>104</v>
      </c>
      <c r="X2" s="166" t="s">
        <v>102</v>
      </c>
    </row>
    <row r="3" spans="1:24" ht="24" customHeight="1" thickBot="1">
      <c r="B3" s="141" t="s">
        <v>3</v>
      </c>
      <c r="C3" s="142" t="s">
        <v>105</v>
      </c>
      <c r="D3" s="143" t="s">
        <v>5</v>
      </c>
      <c r="E3" s="144" t="s">
        <v>106</v>
      </c>
      <c r="F3" s="145" t="s">
        <v>107</v>
      </c>
      <c r="G3" s="145" t="s">
        <v>108</v>
      </c>
      <c r="H3" s="362" t="s">
        <v>8</v>
      </c>
      <c r="I3" s="96" t="s">
        <v>9</v>
      </c>
      <c r="J3" s="96" t="s">
        <v>10</v>
      </c>
      <c r="N3" s="295" t="s">
        <v>109</v>
      </c>
      <c r="O3" s="158">
        <v>46130</v>
      </c>
      <c r="Q3" s="295"/>
      <c r="R3" s="158"/>
      <c r="T3" s="295"/>
      <c r="U3" s="158"/>
      <c r="W3" s="295"/>
      <c r="X3" s="158"/>
    </row>
    <row r="4" spans="1:24" ht="15.75" thickBot="1">
      <c r="A4" s="571" t="s">
        <v>110</v>
      </c>
      <c r="B4" s="146" t="s">
        <v>111</v>
      </c>
      <c r="C4" s="139">
        <v>2</v>
      </c>
      <c r="D4" s="90">
        <v>2</v>
      </c>
      <c r="E4" s="90">
        <v>1</v>
      </c>
      <c r="F4" s="90"/>
      <c r="G4" s="101"/>
      <c r="H4" s="99">
        <f>COUNTA(F4)</f>
        <v>0</v>
      </c>
      <c r="I4" s="105">
        <f>COUNTA(F4:G4)</f>
        <v>0</v>
      </c>
      <c r="J4" s="99">
        <f>D4-I4</f>
        <v>2</v>
      </c>
      <c r="K4" s="575" t="s">
        <v>112</v>
      </c>
      <c r="N4" s="296" t="s">
        <v>113</v>
      </c>
      <c r="O4" s="158">
        <v>46137</v>
      </c>
      <c r="Q4" s="292"/>
      <c r="R4" s="158"/>
    </row>
    <row r="5" spans="1:24" ht="15.75" thickBot="1">
      <c r="A5" s="571"/>
      <c r="B5" s="147"/>
      <c r="C5" s="140"/>
      <c r="D5" s="90">
        <v>2</v>
      </c>
      <c r="E5" s="90">
        <v>2</v>
      </c>
      <c r="F5" s="90"/>
      <c r="G5" s="101"/>
      <c r="H5" s="99">
        <f t="shared" ref="H5:H9" si="0">COUNTA(F5)</f>
        <v>0</v>
      </c>
      <c r="I5" s="105">
        <f t="shared" ref="I5:I9" si="1">COUNTA(F5:G5)</f>
        <v>0</v>
      </c>
      <c r="J5" s="99">
        <f t="shared" ref="J5:J9" si="2">D5-I5</f>
        <v>2</v>
      </c>
      <c r="K5" s="576"/>
      <c r="N5" s="296" t="s">
        <v>114</v>
      </c>
      <c r="O5" s="158">
        <v>46137</v>
      </c>
      <c r="Q5" s="90"/>
      <c r="R5" s="90"/>
    </row>
    <row r="6" spans="1:24" ht="15.75" thickBot="1">
      <c r="A6" s="571" t="s">
        <v>115</v>
      </c>
      <c r="B6" s="146" t="s">
        <v>116</v>
      </c>
      <c r="C6" s="139">
        <v>2</v>
      </c>
      <c r="D6" s="90">
        <v>2</v>
      </c>
      <c r="E6" s="90">
        <v>1</v>
      </c>
      <c r="F6" s="90" t="s">
        <v>114</v>
      </c>
      <c r="G6" s="101"/>
      <c r="H6" s="99">
        <f t="shared" si="0"/>
        <v>1</v>
      </c>
      <c r="I6" s="105">
        <f t="shared" si="1"/>
        <v>1</v>
      </c>
      <c r="J6" s="99">
        <f t="shared" si="2"/>
        <v>1</v>
      </c>
      <c r="K6" s="576"/>
      <c r="N6" s="296" t="s">
        <v>117</v>
      </c>
      <c r="O6" s="158">
        <v>46137</v>
      </c>
      <c r="Q6" s="90"/>
      <c r="R6" s="90"/>
    </row>
    <row r="7" spans="1:24" ht="15.75" thickBot="1">
      <c r="A7" s="571"/>
      <c r="B7" s="147"/>
      <c r="C7" s="140"/>
      <c r="D7" s="90">
        <v>2</v>
      </c>
      <c r="E7" s="90">
        <v>2</v>
      </c>
      <c r="F7" s="90" t="s">
        <v>113</v>
      </c>
      <c r="G7" s="101" t="s">
        <v>117</v>
      </c>
      <c r="H7" s="99">
        <f t="shared" si="0"/>
        <v>1</v>
      </c>
      <c r="I7" s="105">
        <f t="shared" si="1"/>
        <v>2</v>
      </c>
      <c r="J7" s="99">
        <f t="shared" si="2"/>
        <v>0</v>
      </c>
      <c r="K7" s="576"/>
      <c r="N7" s="296"/>
      <c r="O7" s="158"/>
      <c r="Q7" s="90"/>
      <c r="R7" s="90"/>
    </row>
    <row r="8" spans="1:24" ht="15.75" thickBot="1">
      <c r="A8" s="571" t="s">
        <v>118</v>
      </c>
      <c r="B8" s="146" t="s">
        <v>119</v>
      </c>
      <c r="C8" s="139">
        <v>2</v>
      </c>
      <c r="D8" s="90">
        <v>2</v>
      </c>
      <c r="E8" s="90">
        <v>1</v>
      </c>
      <c r="F8" s="376" t="s">
        <v>109</v>
      </c>
      <c r="G8" s="101"/>
      <c r="H8" s="99">
        <f t="shared" si="0"/>
        <v>1</v>
      </c>
      <c r="I8" s="105">
        <f t="shared" si="1"/>
        <v>1</v>
      </c>
      <c r="J8" s="99">
        <f t="shared" si="2"/>
        <v>1</v>
      </c>
      <c r="K8" s="576"/>
      <c r="N8" s="298"/>
      <c r="O8" s="158"/>
      <c r="Q8" s="90"/>
      <c r="R8" s="90"/>
    </row>
    <row r="9" spans="1:24" ht="15.75" thickBot="1">
      <c r="A9" s="571"/>
      <c r="B9" s="148"/>
      <c r="C9" s="149"/>
      <c r="D9" s="150">
        <v>2</v>
      </c>
      <c r="E9" s="150">
        <v>2</v>
      </c>
      <c r="F9" s="150"/>
      <c r="G9" s="319"/>
      <c r="H9" s="105">
        <f t="shared" si="0"/>
        <v>0</v>
      </c>
      <c r="I9" s="105">
        <f t="shared" si="1"/>
        <v>0</v>
      </c>
      <c r="J9" s="105">
        <f t="shared" si="2"/>
        <v>2</v>
      </c>
      <c r="K9" s="577"/>
      <c r="N9" s="298"/>
      <c r="O9" s="158"/>
      <c r="Q9" s="90"/>
      <c r="R9" s="90"/>
    </row>
    <row r="10" spans="1:24" ht="15.75" thickBot="1">
      <c r="A10" s="571" t="s">
        <v>120</v>
      </c>
      <c r="B10" s="146" t="s">
        <v>121</v>
      </c>
      <c r="C10" s="139">
        <v>2</v>
      </c>
      <c r="D10" s="90">
        <v>2</v>
      </c>
      <c r="E10" s="90">
        <v>1</v>
      </c>
      <c r="F10" s="90"/>
      <c r="G10" s="101"/>
      <c r="H10" s="99">
        <f>COUNTA(F10)</f>
        <v>0</v>
      </c>
      <c r="I10" s="105">
        <f>COUNTA(F10:G10)</f>
        <v>0</v>
      </c>
      <c r="J10" s="99">
        <f>D10-I10</f>
        <v>2</v>
      </c>
      <c r="K10" s="572" t="s">
        <v>122</v>
      </c>
      <c r="N10" s="296"/>
      <c r="O10" s="158"/>
      <c r="Q10" s="292"/>
      <c r="R10" s="158"/>
    </row>
    <row r="11" spans="1:24" ht="15.75" thickBot="1">
      <c r="A11" s="571"/>
      <c r="B11" s="147"/>
      <c r="C11" s="140"/>
      <c r="D11" s="90">
        <v>2</v>
      </c>
      <c r="E11" s="90">
        <v>2</v>
      </c>
      <c r="F11" s="90"/>
      <c r="G11" s="101"/>
      <c r="H11" s="99">
        <f t="shared" ref="H11:H15" si="3">COUNTA(F11)</f>
        <v>0</v>
      </c>
      <c r="I11" s="105">
        <f t="shared" ref="I11:I15" si="4">COUNTA(F11:G11)</f>
        <v>0</v>
      </c>
      <c r="J11" s="99">
        <f t="shared" ref="J11:J15" si="5">D11-I11</f>
        <v>2</v>
      </c>
      <c r="K11" s="573"/>
      <c r="N11" s="296"/>
      <c r="O11" s="158"/>
      <c r="Q11" s="90"/>
      <c r="R11" s="90"/>
    </row>
    <row r="12" spans="1:24" ht="15.75" thickBot="1">
      <c r="A12" s="571" t="s">
        <v>123</v>
      </c>
      <c r="B12" s="146" t="s">
        <v>124</v>
      </c>
      <c r="C12" s="139">
        <v>2</v>
      </c>
      <c r="D12" s="90">
        <v>2</v>
      </c>
      <c r="E12" s="90">
        <v>1</v>
      </c>
      <c r="F12" s="90"/>
      <c r="G12" s="101"/>
      <c r="H12" s="99">
        <f t="shared" si="3"/>
        <v>0</v>
      </c>
      <c r="I12" s="105">
        <f t="shared" si="4"/>
        <v>0</v>
      </c>
      <c r="J12" s="99">
        <f t="shared" si="5"/>
        <v>2</v>
      </c>
      <c r="K12" s="573"/>
      <c r="N12" s="296"/>
      <c r="O12" s="158"/>
      <c r="Q12" s="90"/>
      <c r="R12" s="90"/>
    </row>
    <row r="13" spans="1:24" ht="15.75" thickBot="1">
      <c r="A13" s="571"/>
      <c r="B13" s="147"/>
      <c r="C13" s="140"/>
      <c r="D13" s="90">
        <v>2</v>
      </c>
      <c r="E13" s="90">
        <v>2</v>
      </c>
      <c r="F13" s="90"/>
      <c r="G13" s="101"/>
      <c r="H13" s="99">
        <f t="shared" si="3"/>
        <v>0</v>
      </c>
      <c r="I13" s="105">
        <f t="shared" si="4"/>
        <v>0</v>
      </c>
      <c r="J13" s="99">
        <f t="shared" si="5"/>
        <v>2</v>
      </c>
      <c r="K13" s="573"/>
      <c r="N13" s="296"/>
      <c r="O13" s="158"/>
      <c r="Q13" s="90"/>
      <c r="R13" s="90"/>
    </row>
    <row r="14" spans="1:24" ht="15.75" thickBot="1">
      <c r="A14" s="571" t="s">
        <v>125</v>
      </c>
      <c r="B14" s="146" t="s">
        <v>126</v>
      </c>
      <c r="C14" s="139">
        <v>2</v>
      </c>
      <c r="D14" s="90">
        <v>2</v>
      </c>
      <c r="E14" s="90">
        <v>1</v>
      </c>
      <c r="F14" s="90"/>
      <c r="G14" s="101"/>
      <c r="H14" s="99">
        <f t="shared" si="3"/>
        <v>0</v>
      </c>
      <c r="I14" s="105">
        <f t="shared" si="4"/>
        <v>0</v>
      </c>
      <c r="J14" s="99">
        <f t="shared" si="5"/>
        <v>2</v>
      </c>
      <c r="K14" s="573"/>
      <c r="N14" s="298"/>
      <c r="O14" s="158"/>
      <c r="Q14" s="90"/>
      <c r="R14" s="90"/>
    </row>
    <row r="15" spans="1:24" ht="15.75" thickBot="1">
      <c r="A15" s="571"/>
      <c r="B15" s="148"/>
      <c r="C15" s="149"/>
      <c r="D15" s="150">
        <v>2</v>
      </c>
      <c r="E15" s="150">
        <v>2</v>
      </c>
      <c r="F15" s="150"/>
      <c r="G15" s="319"/>
      <c r="H15" s="105">
        <f t="shared" si="3"/>
        <v>0</v>
      </c>
      <c r="I15" s="105">
        <f t="shared" si="4"/>
        <v>0</v>
      </c>
      <c r="J15" s="105">
        <f t="shared" si="5"/>
        <v>2</v>
      </c>
      <c r="K15" s="573"/>
      <c r="N15" s="298"/>
      <c r="O15" s="158"/>
      <c r="Q15" s="90"/>
      <c r="R15" s="90"/>
    </row>
    <row r="16" spans="1:24" ht="15.75" thickBot="1">
      <c r="A16" s="571" t="s">
        <v>127</v>
      </c>
      <c r="B16" s="146" t="s">
        <v>128</v>
      </c>
      <c r="C16" s="139">
        <v>2</v>
      </c>
      <c r="D16" s="90">
        <v>2</v>
      </c>
      <c r="E16" s="90">
        <v>1</v>
      </c>
      <c r="F16" s="90"/>
      <c r="G16" s="101"/>
      <c r="H16" s="99">
        <f t="shared" ref="H16:H17" si="6">COUNTA(F16)</f>
        <v>0</v>
      </c>
      <c r="I16" s="105">
        <f t="shared" ref="I16:I17" si="7">COUNTA(F16:G16)</f>
        <v>0</v>
      </c>
      <c r="J16" s="99">
        <f t="shared" ref="J16:J17" si="8">D16-I16</f>
        <v>2</v>
      </c>
      <c r="K16" s="573"/>
      <c r="N16" s="298"/>
      <c r="O16" s="158"/>
      <c r="Q16" s="90"/>
      <c r="R16" s="90"/>
    </row>
    <row r="17" spans="1:18" ht="15.75" thickBot="1">
      <c r="A17" s="571"/>
      <c r="B17" s="148"/>
      <c r="C17" s="149"/>
      <c r="D17" s="150">
        <v>2</v>
      </c>
      <c r="E17" s="150">
        <v>2</v>
      </c>
      <c r="F17" s="150"/>
      <c r="G17" s="319"/>
      <c r="H17" s="105">
        <f t="shared" si="6"/>
        <v>0</v>
      </c>
      <c r="I17" s="105">
        <f t="shared" si="7"/>
        <v>0</v>
      </c>
      <c r="J17" s="105">
        <f t="shared" si="8"/>
        <v>2</v>
      </c>
      <c r="K17" s="574"/>
      <c r="N17" s="298"/>
      <c r="O17" s="158"/>
      <c r="Q17" s="90"/>
      <c r="R17" s="90"/>
    </row>
    <row r="18" spans="1:18" ht="12.75" customHeight="1" thickBot="1">
      <c r="H18" s="317">
        <f>SUM(H4:H9)</f>
        <v>3</v>
      </c>
      <c r="I18" s="318">
        <f>SUM(I4:I9)</f>
        <v>4</v>
      </c>
      <c r="J18" s="317">
        <f>SUM(J4:J9)</f>
        <v>8</v>
      </c>
      <c r="N18" s="296"/>
      <c r="O18" s="158"/>
      <c r="Q18" s="90"/>
      <c r="R18" s="90"/>
    </row>
    <row r="19" spans="1:18" ht="36.75" thickBot="1">
      <c r="H19" s="115" t="s">
        <v>8</v>
      </c>
      <c r="I19" s="115" t="s">
        <v>9</v>
      </c>
      <c r="J19" s="115" t="s">
        <v>10</v>
      </c>
      <c r="N19" s="296"/>
      <c r="O19" s="158"/>
      <c r="Q19" s="90"/>
      <c r="R19" s="90"/>
    </row>
    <row r="20" spans="1:18">
      <c r="N20" s="298"/>
      <c r="O20" s="158"/>
      <c r="Q20" s="90"/>
      <c r="R20" s="90"/>
    </row>
    <row r="21" spans="1:18">
      <c r="N21" s="298"/>
      <c r="O21" s="158"/>
      <c r="Q21" s="90"/>
      <c r="R21" s="90"/>
    </row>
    <row r="22" spans="1:18">
      <c r="N22" s="298"/>
      <c r="O22" s="158"/>
      <c r="Q22" s="124"/>
      <c r="R22" s="90"/>
    </row>
    <row r="23" spans="1:18">
      <c r="N23" s="298"/>
      <c r="O23" s="158"/>
      <c r="Q23" s="124"/>
      <c r="R23" s="90"/>
    </row>
    <row r="24" spans="1:18">
      <c r="N24" s="298"/>
      <c r="O24" s="158"/>
      <c r="Q24" s="124"/>
      <c r="R24" s="90"/>
    </row>
    <row r="25" spans="1:18">
      <c r="N25" s="298"/>
      <c r="O25" s="158"/>
      <c r="Q25" s="124"/>
      <c r="R25" s="90"/>
    </row>
    <row r="26" spans="1:18">
      <c r="N26" s="298"/>
      <c r="O26" s="158"/>
      <c r="Q26" s="124"/>
      <c r="R26" s="90"/>
    </row>
    <row r="27" spans="1:18">
      <c r="N27" s="331"/>
      <c r="O27" s="158"/>
      <c r="Q27" s="298"/>
      <c r="R27" s="158"/>
    </row>
    <row r="28" spans="1:18">
      <c r="N28" s="292"/>
      <c r="O28" s="158"/>
      <c r="Q28" s="124"/>
      <c r="R28" s="90"/>
    </row>
    <row r="29" spans="1:18">
      <c r="N29" s="292"/>
      <c r="O29" s="158"/>
      <c r="Q29" s="124"/>
      <c r="R29" s="90"/>
    </row>
    <row r="30" spans="1:18">
      <c r="N30" s="292"/>
      <c r="O30" s="158"/>
      <c r="Q30" s="124"/>
      <c r="R30" s="90"/>
    </row>
    <row r="31" spans="1:18">
      <c r="N31" s="296"/>
      <c r="O31" s="158"/>
      <c r="Q31" s="124"/>
      <c r="R31" s="90"/>
    </row>
    <row r="32" spans="1:18">
      <c r="N32" s="295"/>
      <c r="O32" s="158"/>
      <c r="Q32" s="124"/>
      <c r="R32" s="90"/>
    </row>
    <row r="33" spans="14:18">
      <c r="N33" s="298"/>
      <c r="O33" s="158"/>
      <c r="Q33" s="298"/>
      <c r="R33" s="158"/>
    </row>
    <row r="34" spans="14:18">
      <c r="N34" s="297"/>
      <c r="O34" s="158"/>
      <c r="Q34" s="124"/>
      <c r="R34" s="90"/>
    </row>
    <row r="35" spans="14:18">
      <c r="N35" s="298"/>
      <c r="O35" s="158"/>
      <c r="Q35" s="124"/>
      <c r="R35" s="90"/>
    </row>
    <row r="36" spans="14:18">
      <c r="N36" s="298"/>
      <c r="O36" s="158"/>
      <c r="Q36" s="124"/>
      <c r="R36" s="90"/>
    </row>
    <row r="37" spans="14:18">
      <c r="Q37" s="124"/>
      <c r="R37" s="90"/>
    </row>
    <row r="38" spans="14:18">
      <c r="N38" s="90"/>
      <c r="O38" s="90"/>
      <c r="Q38" s="124"/>
      <c r="R38" s="90"/>
    </row>
    <row r="39" spans="14:18">
      <c r="N39" s="90"/>
      <c r="O39" s="90"/>
      <c r="Q39" s="298"/>
      <c r="R39" s="158"/>
    </row>
    <row r="40" spans="14:18">
      <c r="N40" s="90"/>
      <c r="O40" s="90"/>
      <c r="Q40" s="124"/>
      <c r="R40" s="90"/>
    </row>
    <row r="41" spans="14:18">
      <c r="N41" s="90"/>
      <c r="O41" s="90"/>
      <c r="Q41" s="124"/>
      <c r="R41" s="90"/>
    </row>
    <row r="42" spans="14:18">
      <c r="N42" s="90"/>
      <c r="O42" s="90"/>
      <c r="Q42" s="124"/>
      <c r="R42" s="90"/>
    </row>
    <row r="43" spans="14:18">
      <c r="N43" s="90"/>
      <c r="O43" s="90"/>
      <c r="Q43" s="124"/>
      <c r="R43" s="90"/>
    </row>
    <row r="44" spans="14:18">
      <c r="N44" s="90"/>
      <c r="O44" s="90"/>
      <c r="Q44" s="124"/>
      <c r="R44" s="90"/>
    </row>
    <row r="45" spans="14:18">
      <c r="N45" s="90"/>
      <c r="O45" s="90"/>
      <c r="Q45" s="298"/>
      <c r="R45" s="158"/>
    </row>
    <row r="46" spans="14:18">
      <c r="N46" s="90"/>
      <c r="O46" s="90"/>
      <c r="Q46" s="90"/>
      <c r="R46" s="90"/>
    </row>
    <row r="47" spans="14:18">
      <c r="N47" s="90"/>
      <c r="O47" s="90"/>
      <c r="Q47" s="90"/>
      <c r="R47" s="90"/>
    </row>
    <row r="48" spans="14:18">
      <c r="N48" s="90"/>
      <c r="O48" s="90"/>
      <c r="Q48" s="90"/>
      <c r="R48" s="90"/>
    </row>
    <row r="49" spans="14:18">
      <c r="N49" s="90"/>
      <c r="O49" s="90"/>
      <c r="Q49" s="90"/>
      <c r="R49" s="90"/>
    </row>
    <row r="50" spans="14:18">
      <c r="N50" s="90"/>
      <c r="O50" s="90"/>
      <c r="Q50" s="90"/>
      <c r="R50" s="90"/>
    </row>
    <row r="51" spans="14:18">
      <c r="N51" s="90"/>
      <c r="O51" s="90"/>
      <c r="Q51" s="90"/>
      <c r="R51" s="90"/>
    </row>
    <row r="52" spans="14:18">
      <c r="N52" s="90"/>
      <c r="O52" s="90"/>
      <c r="Q52" s="90"/>
      <c r="R52" s="90"/>
    </row>
    <row r="53" spans="14:18">
      <c r="N53" s="90"/>
      <c r="O53" s="90"/>
      <c r="Q53" s="90"/>
      <c r="R53" s="90"/>
    </row>
    <row r="54" spans="14:18">
      <c r="N54" s="90"/>
      <c r="O54" s="90"/>
      <c r="Q54" s="90"/>
      <c r="R54" s="90"/>
    </row>
    <row r="55" spans="14:18">
      <c r="N55" s="90"/>
      <c r="O55" s="90"/>
      <c r="Q55" s="90"/>
      <c r="R55" s="90"/>
    </row>
    <row r="56" spans="14:18">
      <c r="N56" s="90"/>
      <c r="O56" s="90"/>
      <c r="Q56" s="90"/>
      <c r="R56" s="90"/>
    </row>
    <row r="57" spans="14:18">
      <c r="N57" s="90"/>
      <c r="O57" s="90"/>
      <c r="Q57" s="90"/>
      <c r="R57" s="90"/>
    </row>
    <row r="58" spans="14:18">
      <c r="N58" s="90"/>
      <c r="O58" s="90"/>
      <c r="Q58" s="90"/>
      <c r="R58" s="90"/>
    </row>
    <row r="59" spans="14:18">
      <c r="N59" s="90"/>
      <c r="O59" s="90"/>
      <c r="Q59" s="90"/>
      <c r="R59" s="90"/>
    </row>
    <row r="60" spans="14:18">
      <c r="N60" s="90"/>
      <c r="O60" s="90"/>
      <c r="Q60" s="90"/>
      <c r="R60" s="90"/>
    </row>
    <row r="61" spans="14:18">
      <c r="N61" s="90"/>
      <c r="O61" s="90"/>
      <c r="Q61" s="90"/>
      <c r="R61" s="90"/>
    </row>
    <row r="62" spans="14:18">
      <c r="N62" s="90"/>
      <c r="O62" s="90"/>
      <c r="Q62" s="90"/>
      <c r="R62" s="90"/>
    </row>
    <row r="63" spans="14:18">
      <c r="N63" s="90"/>
      <c r="O63" s="90"/>
      <c r="Q63" s="90"/>
      <c r="R63" s="90"/>
    </row>
    <row r="64" spans="14:18">
      <c r="N64" s="90"/>
      <c r="O64" s="90"/>
      <c r="Q64" s="90"/>
      <c r="R64" s="90"/>
    </row>
    <row r="65" spans="14:18">
      <c r="N65" s="90"/>
      <c r="O65" s="90"/>
      <c r="Q65" s="90"/>
      <c r="R65" s="90"/>
    </row>
    <row r="66" spans="14:18">
      <c r="N66" s="90"/>
      <c r="O66" s="90"/>
      <c r="Q66" s="90"/>
      <c r="R66" s="90"/>
    </row>
    <row r="67" spans="14:18">
      <c r="N67" s="90"/>
      <c r="O67" s="90"/>
      <c r="Q67" s="90"/>
      <c r="R67" s="90"/>
    </row>
    <row r="68" spans="14:18">
      <c r="N68" s="90"/>
      <c r="O68" s="90"/>
      <c r="Q68" s="90"/>
      <c r="R68" s="90"/>
    </row>
    <row r="69" spans="14:18">
      <c r="N69" s="90"/>
      <c r="O69" s="90"/>
    </row>
  </sheetData>
  <mergeCells count="9">
    <mergeCell ref="A16:A17"/>
    <mergeCell ref="K10:K17"/>
    <mergeCell ref="K4:K9"/>
    <mergeCell ref="A4:A5"/>
    <mergeCell ref="A10:A11"/>
    <mergeCell ref="A6:A7"/>
    <mergeCell ref="A8:A9"/>
    <mergeCell ref="A12:A13"/>
    <mergeCell ref="A1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A4C2-5E06-47C8-B566-6800B892049F}">
  <sheetPr>
    <tabColor rgb="FF92D050"/>
  </sheetPr>
  <dimension ref="C1:AD61"/>
  <sheetViews>
    <sheetView workbookViewId="0">
      <selection activeCell="G13" sqref="G13"/>
    </sheetView>
  </sheetViews>
  <sheetFormatPr defaultRowHeight="15"/>
  <cols>
    <col min="1" max="1" width="2.7109375" customWidth="1"/>
    <col min="2" max="2" width="3" customWidth="1"/>
    <col min="4" max="6" width="11.7109375" customWidth="1"/>
    <col min="7" max="8" width="33.7109375" customWidth="1"/>
    <col min="9" max="10" width="33.7109375" hidden="1" customWidth="1"/>
    <col min="15" max="15" width="28" customWidth="1"/>
    <col min="16" max="16" width="17.7109375" customWidth="1"/>
    <col min="18" max="18" width="24.5703125" bestFit="1" customWidth="1"/>
    <col min="20" max="20" width="34.7109375" customWidth="1"/>
    <col min="21" max="21" width="12.7109375" customWidth="1"/>
    <col min="22" max="22" width="3.28515625" customWidth="1"/>
    <col min="23" max="23" width="34.7109375" customWidth="1"/>
    <col min="24" max="24" width="12.7109375" customWidth="1"/>
    <col min="25" max="25" width="3" customWidth="1"/>
    <col min="26" max="26" width="34.7109375" customWidth="1"/>
    <col min="27" max="27" width="12.7109375" customWidth="1"/>
    <col min="28" max="28" width="3" customWidth="1"/>
    <col min="29" max="29" width="34.7109375" customWidth="1"/>
    <col min="30" max="30" width="12.7109375" customWidth="1"/>
  </cols>
  <sheetData>
    <row r="1" spans="3:30" ht="15.75" thickBot="1">
      <c r="C1" s="582" t="s">
        <v>129</v>
      </c>
      <c r="D1" s="582"/>
      <c r="E1" s="582"/>
      <c r="F1" s="582"/>
      <c r="G1" s="582"/>
      <c r="H1" s="582"/>
      <c r="I1" s="582"/>
      <c r="J1" s="582"/>
      <c r="K1" s="582"/>
      <c r="L1" s="582"/>
      <c r="M1" s="582"/>
    </row>
    <row r="2" spans="3:30" ht="36.75" thickBot="1">
      <c r="C2" s="95" t="s">
        <v>3</v>
      </c>
      <c r="D2" s="95" t="s">
        <v>105</v>
      </c>
      <c r="E2" s="95" t="s">
        <v>5</v>
      </c>
      <c r="F2" s="95" t="s">
        <v>106</v>
      </c>
      <c r="G2" s="95" t="s">
        <v>130</v>
      </c>
      <c r="H2" s="95" t="s">
        <v>131</v>
      </c>
      <c r="I2" s="95" t="s">
        <v>132</v>
      </c>
      <c r="J2" s="95" t="s">
        <v>133</v>
      </c>
      <c r="K2" s="96" t="s">
        <v>8</v>
      </c>
      <c r="L2" s="96" t="s">
        <v>9</v>
      </c>
      <c r="M2" s="96" t="s">
        <v>10</v>
      </c>
      <c r="O2" s="301" t="s">
        <v>134</v>
      </c>
      <c r="P2" s="302" t="s">
        <v>135</v>
      </c>
      <c r="Q2" s="583" t="s">
        <v>136</v>
      </c>
      <c r="R2" s="583"/>
      <c r="T2" s="323" t="s">
        <v>99</v>
      </c>
      <c r="U2" s="166" t="s">
        <v>100</v>
      </c>
      <c r="V2" s="286"/>
      <c r="W2" s="324" t="s">
        <v>101</v>
      </c>
      <c r="X2" s="166" t="s">
        <v>102</v>
      </c>
      <c r="Z2" s="323" t="s">
        <v>103</v>
      </c>
      <c r="AA2" s="166" t="s">
        <v>100</v>
      </c>
      <c r="AB2" s="286"/>
      <c r="AC2" s="324" t="s">
        <v>104</v>
      </c>
      <c r="AD2" s="166" t="s">
        <v>102</v>
      </c>
    </row>
    <row r="3" spans="3:30" ht="18" thickBot="1">
      <c r="C3" s="578">
        <v>6</v>
      </c>
      <c r="D3" s="578">
        <v>1.5</v>
      </c>
      <c r="E3" s="22">
        <v>2</v>
      </c>
      <c r="F3" s="22">
        <v>1</v>
      </c>
      <c r="G3" s="90" t="s">
        <v>137</v>
      </c>
      <c r="H3" s="304"/>
      <c r="I3" s="97"/>
      <c r="J3" s="98"/>
      <c r="K3" s="99">
        <f>COUNTA(G3)</f>
        <v>1</v>
      </c>
      <c r="L3" s="105">
        <f>COUNTA(G3:H3)</f>
        <v>1</v>
      </c>
      <c r="M3" s="99">
        <f>E3-L3</f>
        <v>1</v>
      </c>
      <c r="O3" s="102" t="s">
        <v>138</v>
      </c>
      <c r="P3" s="158">
        <v>46116</v>
      </c>
      <c r="Q3" s="584" t="s">
        <v>139</v>
      </c>
      <c r="R3" s="584"/>
      <c r="T3" s="295"/>
      <c r="U3" s="158"/>
      <c r="W3" s="295"/>
      <c r="X3" s="158"/>
      <c r="Z3" s="295"/>
      <c r="AA3" s="158"/>
      <c r="AC3" s="295"/>
      <c r="AD3" s="158"/>
    </row>
    <row r="4" spans="3:30" ht="18" thickBot="1">
      <c r="C4" s="579"/>
      <c r="D4" s="579"/>
      <c r="E4" s="100">
        <v>1</v>
      </c>
      <c r="F4" s="22">
        <v>2</v>
      </c>
      <c r="G4" s="90" t="s">
        <v>136</v>
      </c>
      <c r="H4" s="97"/>
      <c r="I4" s="97"/>
      <c r="J4" s="101"/>
      <c r="K4" s="99">
        <f t="shared" ref="K4:K8" si="0">COUNTA(G4)</f>
        <v>1</v>
      </c>
      <c r="L4" s="105">
        <f>COUNTA(G4)</f>
        <v>1</v>
      </c>
      <c r="M4" s="99">
        <f t="shared" ref="M4:M8" si="1">E4-L4</f>
        <v>0</v>
      </c>
      <c r="O4" s="102" t="s">
        <v>140</v>
      </c>
      <c r="P4" s="158">
        <v>46116</v>
      </c>
      <c r="Q4" s="299">
        <v>1</v>
      </c>
      <c r="R4" s="103" t="s">
        <v>136</v>
      </c>
      <c r="T4" s="296"/>
      <c r="U4" s="158"/>
      <c r="W4" s="292"/>
      <c r="X4" s="158"/>
    </row>
    <row r="5" spans="3:30" ht="18" thickBot="1">
      <c r="C5" s="104">
        <v>8</v>
      </c>
      <c r="D5" s="22">
        <v>1</v>
      </c>
      <c r="E5" s="22">
        <v>2</v>
      </c>
      <c r="F5" s="22">
        <v>1</v>
      </c>
      <c r="G5" s="90" t="s">
        <v>141</v>
      </c>
      <c r="H5" s="90" t="s">
        <v>142</v>
      </c>
      <c r="I5" s="97"/>
      <c r="J5" s="101"/>
      <c r="K5" s="99">
        <f t="shared" si="0"/>
        <v>1</v>
      </c>
      <c r="L5" s="105">
        <f>COUNTA(G5:H5)</f>
        <v>2</v>
      </c>
      <c r="M5" s="99">
        <f t="shared" si="1"/>
        <v>0</v>
      </c>
      <c r="O5" s="90"/>
      <c r="P5" s="90"/>
      <c r="Q5" s="300">
        <f>Q4+1</f>
        <v>2</v>
      </c>
      <c r="R5" s="89" t="s">
        <v>143</v>
      </c>
      <c r="T5" s="296"/>
      <c r="U5" s="158"/>
      <c r="W5" s="90"/>
      <c r="X5" s="90"/>
    </row>
    <row r="6" spans="3:30" ht="19.5" thickBot="1">
      <c r="C6" s="486">
        <v>11</v>
      </c>
      <c r="D6" s="487" t="s">
        <v>144</v>
      </c>
      <c r="E6" s="29">
        <v>2</v>
      </c>
      <c r="F6" s="22">
        <v>1</v>
      </c>
      <c r="G6" s="90" t="s">
        <v>145</v>
      </c>
      <c r="H6" s="303"/>
      <c r="I6" s="97"/>
      <c r="J6" s="98"/>
      <c r="K6" s="99">
        <f t="shared" si="0"/>
        <v>1</v>
      </c>
      <c r="L6" s="105">
        <f>COUNTA(G6:H6)</f>
        <v>1</v>
      </c>
      <c r="M6" s="99">
        <f t="shared" si="1"/>
        <v>1</v>
      </c>
      <c r="O6" s="90"/>
      <c r="P6" s="90"/>
      <c r="Q6" s="300">
        <f t="shared" ref="Q6:Q15" si="2">Q5+1</f>
        <v>3</v>
      </c>
      <c r="R6" s="89" t="s">
        <v>146</v>
      </c>
      <c r="T6" s="296"/>
      <c r="U6" s="158"/>
      <c r="W6" s="90"/>
      <c r="X6" s="90"/>
    </row>
    <row r="7" spans="3:30" ht="18" thickBot="1">
      <c r="C7" s="578">
        <v>12</v>
      </c>
      <c r="D7" s="580">
        <v>1.5</v>
      </c>
      <c r="E7" s="22">
        <v>2</v>
      </c>
      <c r="F7" s="14">
        <v>1</v>
      </c>
      <c r="G7" s="90" t="s">
        <v>147</v>
      </c>
      <c r="H7" s="90" t="s">
        <v>148</v>
      </c>
      <c r="I7" s="97"/>
      <c r="J7" s="101"/>
      <c r="K7" s="99">
        <f t="shared" si="0"/>
        <v>1</v>
      </c>
      <c r="L7" s="105">
        <f>COUNTA(G7:H7)</f>
        <v>2</v>
      </c>
      <c r="M7" s="99">
        <f t="shared" si="1"/>
        <v>0</v>
      </c>
      <c r="O7" s="90"/>
      <c r="P7" s="90"/>
      <c r="Q7" s="300">
        <f t="shared" si="2"/>
        <v>4</v>
      </c>
      <c r="R7" s="89" t="s">
        <v>149</v>
      </c>
      <c r="T7" s="296"/>
      <c r="U7" s="158"/>
      <c r="W7" s="90"/>
      <c r="X7" s="90"/>
    </row>
    <row r="8" spans="3:30" ht="18" thickBot="1">
      <c r="C8" s="579"/>
      <c r="D8" s="581"/>
      <c r="E8" s="40">
        <v>1</v>
      </c>
      <c r="F8" s="14">
        <v>2</v>
      </c>
      <c r="G8" s="90" t="s">
        <v>150</v>
      </c>
      <c r="H8" s="97"/>
      <c r="I8" s="97"/>
      <c r="J8" s="101"/>
      <c r="K8" s="105">
        <f t="shared" si="0"/>
        <v>1</v>
      </c>
      <c r="L8" s="105">
        <f>COUNTA(G8)</f>
        <v>1</v>
      </c>
      <c r="M8" s="105">
        <f t="shared" si="1"/>
        <v>0</v>
      </c>
      <c r="O8" s="90"/>
      <c r="P8" s="90"/>
      <c r="Q8" s="300">
        <f t="shared" si="2"/>
        <v>5</v>
      </c>
      <c r="R8" s="106" t="s">
        <v>151</v>
      </c>
      <c r="T8" s="298"/>
      <c r="U8" s="158"/>
      <c r="W8" s="90"/>
      <c r="X8" s="90"/>
    </row>
    <row r="9" spans="3:30" ht="19.5" thickBot="1">
      <c r="K9" s="311">
        <f>SUM(K3:K8)</f>
        <v>6</v>
      </c>
      <c r="L9" s="311">
        <f>SUM(L3:L8)</f>
        <v>8</v>
      </c>
      <c r="M9" s="311">
        <f>SUM(M3:M8)</f>
        <v>2</v>
      </c>
      <c r="O9" s="90"/>
      <c r="P9" s="90"/>
      <c r="Q9" s="300">
        <f t="shared" si="2"/>
        <v>6</v>
      </c>
      <c r="R9" s="89"/>
      <c r="T9" s="298"/>
      <c r="U9" s="158"/>
      <c r="W9" s="90"/>
      <c r="X9" s="90"/>
    </row>
    <row r="10" spans="3:30" ht="36.75" thickBot="1">
      <c r="K10" s="115" t="s">
        <v>8</v>
      </c>
      <c r="L10" s="115" t="s">
        <v>9</v>
      </c>
      <c r="M10" s="115" t="s">
        <v>10</v>
      </c>
      <c r="O10" s="90"/>
      <c r="P10" s="90"/>
      <c r="Q10" s="300">
        <f t="shared" si="2"/>
        <v>7</v>
      </c>
      <c r="R10" s="89"/>
      <c r="T10" s="296"/>
      <c r="U10" s="158"/>
      <c r="W10" s="90"/>
      <c r="X10" s="90"/>
    </row>
    <row r="11" spans="3:30" ht="17.25">
      <c r="O11" s="90"/>
      <c r="P11" s="90"/>
      <c r="Q11" s="300">
        <f t="shared" si="2"/>
        <v>8</v>
      </c>
      <c r="R11" s="89"/>
      <c r="T11" s="296"/>
      <c r="U11" s="158"/>
      <c r="W11" s="90"/>
      <c r="X11" s="90"/>
    </row>
    <row r="12" spans="3:30" ht="17.25">
      <c r="O12" s="90"/>
      <c r="P12" s="90"/>
      <c r="Q12" s="300">
        <f t="shared" si="2"/>
        <v>9</v>
      </c>
      <c r="R12" s="89"/>
      <c r="T12" s="298"/>
      <c r="U12" s="158"/>
      <c r="W12" s="90"/>
      <c r="X12" s="90"/>
    </row>
    <row r="13" spans="3:30" ht="17.25">
      <c r="O13" s="90"/>
      <c r="P13" s="90"/>
      <c r="Q13" s="300">
        <f t="shared" si="2"/>
        <v>10</v>
      </c>
      <c r="R13" s="106"/>
      <c r="T13" s="298"/>
      <c r="U13" s="158"/>
      <c r="W13" s="90"/>
      <c r="X13" s="90"/>
    </row>
    <row r="14" spans="3:30" ht="17.25">
      <c r="O14" s="90"/>
      <c r="P14" s="90"/>
      <c r="Q14" s="300">
        <f t="shared" si="2"/>
        <v>11</v>
      </c>
      <c r="R14" s="89"/>
      <c r="T14" s="298"/>
      <c r="U14" s="158"/>
      <c r="W14" s="124"/>
      <c r="X14" s="90"/>
    </row>
    <row r="15" spans="3:30" ht="17.25">
      <c r="O15" s="90"/>
      <c r="P15" s="90"/>
      <c r="Q15" s="300">
        <f t="shared" si="2"/>
        <v>12</v>
      </c>
      <c r="R15" s="89"/>
      <c r="T15" s="298"/>
      <c r="U15" s="158"/>
      <c r="W15" s="124"/>
      <c r="X15" s="90"/>
    </row>
    <row r="16" spans="3:30">
      <c r="T16" s="298"/>
      <c r="U16" s="158"/>
      <c r="W16" s="124"/>
      <c r="X16" s="90"/>
    </row>
    <row r="17" spans="20:24">
      <c r="T17" s="298"/>
      <c r="U17" s="158"/>
      <c r="W17" s="124"/>
      <c r="X17" s="90"/>
    </row>
    <row r="18" spans="20:24">
      <c r="T18" s="298"/>
      <c r="U18" s="158"/>
      <c r="W18" s="124"/>
      <c r="X18" s="90"/>
    </row>
    <row r="19" spans="20:24">
      <c r="T19" s="331"/>
      <c r="U19" s="158"/>
      <c r="W19" s="298"/>
      <c r="X19" s="158"/>
    </row>
    <row r="20" spans="20:24">
      <c r="T20" s="292"/>
      <c r="U20" s="158"/>
      <c r="W20" s="124"/>
      <c r="X20" s="90"/>
    </row>
    <row r="21" spans="20:24">
      <c r="T21" s="292"/>
      <c r="U21" s="158"/>
      <c r="W21" s="124"/>
      <c r="X21" s="90"/>
    </row>
    <row r="22" spans="20:24">
      <c r="T22" s="292"/>
      <c r="U22" s="158"/>
      <c r="W22" s="124"/>
      <c r="X22" s="90"/>
    </row>
    <row r="23" spans="20:24">
      <c r="T23" s="296"/>
      <c r="U23" s="158"/>
      <c r="W23" s="124"/>
      <c r="X23" s="90"/>
    </row>
    <row r="24" spans="20:24">
      <c r="T24" s="295"/>
      <c r="U24" s="158"/>
      <c r="W24" s="124"/>
      <c r="X24" s="90"/>
    </row>
    <row r="25" spans="20:24">
      <c r="T25" s="298"/>
      <c r="U25" s="158"/>
      <c r="W25" s="298"/>
      <c r="X25" s="158"/>
    </row>
    <row r="26" spans="20:24">
      <c r="T26" s="297"/>
      <c r="U26" s="158"/>
      <c r="W26" s="124"/>
      <c r="X26" s="90"/>
    </row>
    <row r="27" spans="20:24">
      <c r="T27" s="298"/>
      <c r="U27" s="158"/>
      <c r="W27" s="124"/>
      <c r="X27" s="90"/>
    </row>
    <row r="28" spans="20:24">
      <c r="T28" s="298"/>
      <c r="U28" s="158"/>
      <c r="W28" s="124"/>
      <c r="X28" s="90"/>
    </row>
    <row r="29" spans="20:24">
      <c r="W29" s="124"/>
      <c r="X29" s="90"/>
    </row>
    <row r="30" spans="20:24">
      <c r="T30" s="90"/>
      <c r="U30" s="90"/>
      <c r="W30" s="124"/>
      <c r="X30" s="90"/>
    </row>
    <row r="31" spans="20:24">
      <c r="T31" s="90"/>
      <c r="U31" s="90"/>
      <c r="W31" s="298"/>
      <c r="X31" s="158"/>
    </row>
    <row r="32" spans="20:24">
      <c r="T32" s="90"/>
      <c r="U32" s="90"/>
      <c r="W32" s="124"/>
      <c r="X32" s="90"/>
    </row>
    <row r="33" spans="20:24">
      <c r="T33" s="90"/>
      <c r="U33" s="90"/>
      <c r="W33" s="124"/>
      <c r="X33" s="90"/>
    </row>
    <row r="34" spans="20:24">
      <c r="T34" s="90"/>
      <c r="U34" s="90"/>
      <c r="W34" s="124"/>
      <c r="X34" s="90"/>
    </row>
    <row r="35" spans="20:24">
      <c r="T35" s="90"/>
      <c r="U35" s="90"/>
      <c r="W35" s="124"/>
      <c r="X35" s="90"/>
    </row>
    <row r="36" spans="20:24">
      <c r="T36" s="90"/>
      <c r="U36" s="90"/>
      <c r="W36" s="124"/>
      <c r="X36" s="90"/>
    </row>
    <row r="37" spans="20:24">
      <c r="T37" s="90"/>
      <c r="U37" s="90"/>
      <c r="W37" s="298"/>
      <c r="X37" s="158"/>
    </row>
    <row r="38" spans="20:24">
      <c r="T38" s="90"/>
      <c r="U38" s="90"/>
      <c r="W38" s="90"/>
      <c r="X38" s="90"/>
    </row>
    <row r="39" spans="20:24">
      <c r="T39" s="90"/>
      <c r="U39" s="90"/>
      <c r="W39" s="90"/>
      <c r="X39" s="90"/>
    </row>
    <row r="40" spans="20:24">
      <c r="T40" s="90"/>
      <c r="U40" s="90"/>
      <c r="W40" s="90"/>
      <c r="X40" s="90"/>
    </row>
    <row r="41" spans="20:24">
      <c r="T41" s="90"/>
      <c r="U41" s="90"/>
      <c r="W41" s="90"/>
      <c r="X41" s="90"/>
    </row>
    <row r="42" spans="20:24">
      <c r="T42" s="90"/>
      <c r="U42" s="90"/>
      <c r="W42" s="90"/>
      <c r="X42" s="90"/>
    </row>
    <row r="43" spans="20:24">
      <c r="T43" s="90"/>
      <c r="U43" s="90"/>
      <c r="W43" s="90"/>
      <c r="X43" s="90"/>
    </row>
    <row r="44" spans="20:24">
      <c r="T44" s="90"/>
      <c r="U44" s="90"/>
      <c r="W44" s="90"/>
      <c r="X44" s="90"/>
    </row>
    <row r="45" spans="20:24">
      <c r="T45" s="90"/>
      <c r="U45" s="90"/>
      <c r="W45" s="90"/>
      <c r="X45" s="90"/>
    </row>
    <row r="46" spans="20:24">
      <c r="T46" s="90"/>
      <c r="U46" s="90"/>
      <c r="W46" s="90"/>
      <c r="X46" s="90"/>
    </row>
    <row r="47" spans="20:24">
      <c r="T47" s="90"/>
      <c r="U47" s="90"/>
      <c r="W47" s="90"/>
      <c r="X47" s="90"/>
    </row>
    <row r="48" spans="20:24">
      <c r="T48" s="90"/>
      <c r="U48" s="90"/>
      <c r="W48" s="90"/>
      <c r="X48" s="90"/>
    </row>
    <row r="49" spans="20:24">
      <c r="T49" s="90"/>
      <c r="U49" s="90"/>
      <c r="W49" s="90"/>
      <c r="X49" s="90"/>
    </row>
    <row r="50" spans="20:24">
      <c r="T50" s="90"/>
      <c r="U50" s="90"/>
      <c r="W50" s="90"/>
      <c r="X50" s="90"/>
    </row>
    <row r="51" spans="20:24">
      <c r="T51" s="90"/>
      <c r="U51" s="90"/>
      <c r="W51" s="90"/>
      <c r="X51" s="90"/>
    </row>
    <row r="52" spans="20:24">
      <c r="T52" s="90"/>
      <c r="U52" s="90"/>
      <c r="W52" s="90"/>
      <c r="X52" s="90"/>
    </row>
    <row r="53" spans="20:24">
      <c r="T53" s="90"/>
      <c r="U53" s="90"/>
      <c r="W53" s="90"/>
      <c r="X53" s="90"/>
    </row>
    <row r="54" spans="20:24">
      <c r="T54" s="90"/>
      <c r="U54" s="90"/>
      <c r="W54" s="90"/>
      <c r="X54" s="90"/>
    </row>
    <row r="55" spans="20:24">
      <c r="T55" s="90"/>
      <c r="U55" s="90"/>
      <c r="W55" s="90"/>
      <c r="X55" s="90"/>
    </row>
    <row r="56" spans="20:24">
      <c r="T56" s="90"/>
      <c r="U56" s="90"/>
      <c r="W56" s="90"/>
      <c r="X56" s="90"/>
    </row>
    <row r="57" spans="20:24">
      <c r="T57" s="90"/>
      <c r="U57" s="90"/>
      <c r="W57" s="90"/>
      <c r="X57" s="90"/>
    </row>
    <row r="58" spans="20:24">
      <c r="T58" s="90"/>
      <c r="U58" s="90"/>
      <c r="W58" s="90"/>
      <c r="X58" s="90"/>
    </row>
    <row r="59" spans="20:24">
      <c r="T59" s="90"/>
      <c r="U59" s="90"/>
      <c r="W59" s="90"/>
      <c r="X59" s="90"/>
    </row>
    <row r="60" spans="20:24">
      <c r="T60" s="90"/>
      <c r="U60" s="90"/>
      <c r="W60" s="90"/>
      <c r="X60" s="90"/>
    </row>
    <row r="61" spans="20:24">
      <c r="T61" s="90"/>
      <c r="U61" s="90"/>
    </row>
  </sheetData>
  <mergeCells count="7">
    <mergeCell ref="C7:C8"/>
    <mergeCell ref="D7:D8"/>
    <mergeCell ref="C1:M1"/>
    <mergeCell ref="Q2:R2"/>
    <mergeCell ref="C3:C4"/>
    <mergeCell ref="D3:D4"/>
    <mergeCell ref="Q3:R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F972-0194-40B6-9DCF-B398D86C57C9}">
  <sheetPr>
    <tabColor rgb="FF92D050"/>
  </sheetPr>
  <dimension ref="A1:J49"/>
  <sheetViews>
    <sheetView zoomScale="145" zoomScaleNormal="145" workbookViewId="0">
      <selection activeCell="A11" sqref="A11:A12"/>
    </sheetView>
  </sheetViews>
  <sheetFormatPr defaultRowHeight="15"/>
  <cols>
    <col min="1" max="1" width="21.28515625" customWidth="1"/>
    <col min="2" max="2" width="9.42578125" customWidth="1"/>
    <col min="3" max="4" width="10.28515625" customWidth="1"/>
    <col min="5" max="5" width="11.7109375" bestFit="1" customWidth="1"/>
    <col min="6" max="6" width="31" customWidth="1"/>
    <col min="7" max="7" width="31.5703125" bestFit="1" customWidth="1"/>
    <col min="9" max="9" width="10.42578125" customWidth="1"/>
  </cols>
  <sheetData>
    <row r="1" spans="1:10" ht="15.75" thickBot="1"/>
    <row r="2" spans="1:10" ht="36.75" thickBot="1">
      <c r="B2" s="95" t="s">
        <v>3</v>
      </c>
      <c r="C2" s="139" t="s">
        <v>105</v>
      </c>
      <c r="D2" s="139" t="s">
        <v>5</v>
      </c>
      <c r="E2" s="139" t="s">
        <v>106</v>
      </c>
      <c r="F2" s="139" t="s">
        <v>130</v>
      </c>
      <c r="G2" s="139" t="s">
        <v>131</v>
      </c>
      <c r="H2" s="96" t="s">
        <v>8</v>
      </c>
      <c r="I2" s="96" t="s">
        <v>9</v>
      </c>
      <c r="J2" s="96" t="s">
        <v>10</v>
      </c>
    </row>
    <row r="3" spans="1:10" ht="15.75" thickBot="1">
      <c r="A3" s="585" t="s">
        <v>152</v>
      </c>
      <c r="B3" s="29">
        <v>118</v>
      </c>
      <c r="C3" s="29">
        <v>2</v>
      </c>
      <c r="D3" s="10">
        <v>2</v>
      </c>
      <c r="E3" s="95">
        <v>1</v>
      </c>
      <c r="F3" s="90" t="s">
        <v>153</v>
      </c>
      <c r="G3" s="101" t="s">
        <v>154</v>
      </c>
      <c r="H3" s="408">
        <f>COUNTA(F3)</f>
        <v>1</v>
      </c>
      <c r="I3" s="408">
        <f>COUNTA(F3:G3)</f>
        <v>2</v>
      </c>
      <c r="J3" s="408">
        <f>D3-I3</f>
        <v>0</v>
      </c>
    </row>
    <row r="4" spans="1:10" ht="15.75" thickBot="1">
      <c r="A4" s="586"/>
      <c r="B4" s="458"/>
      <c r="C4" s="458"/>
      <c r="D4" s="459">
        <v>2</v>
      </c>
      <c r="E4" s="460">
        <v>2</v>
      </c>
      <c r="F4" s="461" t="s">
        <v>155</v>
      </c>
      <c r="G4" s="465"/>
      <c r="H4" s="464">
        <f t="shared" ref="H4:H14" si="0">COUNTA(F4)</f>
        <v>1</v>
      </c>
      <c r="I4" s="464">
        <f t="shared" ref="I4:I14" si="1">COUNTA(F4:G4)</f>
        <v>1</v>
      </c>
      <c r="J4" s="464">
        <f t="shared" ref="J4:J14" si="2">D4-I4</f>
        <v>1</v>
      </c>
    </row>
    <row r="5" spans="1:10" ht="15.75" thickBot="1">
      <c r="A5" s="585" t="s">
        <v>156</v>
      </c>
      <c r="B5" s="29">
        <v>127</v>
      </c>
      <c r="C5" s="29">
        <v>2</v>
      </c>
      <c r="D5" s="10">
        <v>2</v>
      </c>
      <c r="E5" s="95">
        <v>1</v>
      </c>
      <c r="F5" s="90" t="s">
        <v>157</v>
      </c>
      <c r="G5" s="101" t="s">
        <v>158</v>
      </c>
      <c r="H5" s="408">
        <f t="shared" si="0"/>
        <v>1</v>
      </c>
      <c r="I5" s="408">
        <f t="shared" si="1"/>
        <v>2</v>
      </c>
      <c r="J5" s="408">
        <f t="shared" si="2"/>
        <v>0</v>
      </c>
    </row>
    <row r="6" spans="1:10" ht="15.75" thickBot="1">
      <c r="A6" s="586"/>
      <c r="B6" s="458"/>
      <c r="C6" s="458"/>
      <c r="D6" s="459">
        <v>2</v>
      </c>
      <c r="E6" s="460">
        <v>2</v>
      </c>
      <c r="F6" s="461" t="s">
        <v>159</v>
      </c>
      <c r="G6" s="465"/>
      <c r="H6" s="464">
        <f t="shared" si="0"/>
        <v>1</v>
      </c>
      <c r="I6" s="464">
        <f t="shared" si="1"/>
        <v>1</v>
      </c>
      <c r="J6" s="464">
        <f t="shared" si="2"/>
        <v>1</v>
      </c>
    </row>
    <row r="7" spans="1:10" ht="15.75" customHeight="1" thickBot="1">
      <c r="A7" s="585" t="s">
        <v>160</v>
      </c>
      <c r="B7" s="29">
        <v>315</v>
      </c>
      <c r="C7" s="29">
        <v>2</v>
      </c>
      <c r="D7" s="10">
        <v>2</v>
      </c>
      <c r="E7" s="95">
        <v>1</v>
      </c>
      <c r="F7" s="90" t="s">
        <v>161</v>
      </c>
      <c r="G7" s="101" t="s">
        <v>162</v>
      </c>
      <c r="H7" s="408">
        <f t="shared" si="0"/>
        <v>1</v>
      </c>
      <c r="I7" s="408">
        <f t="shared" si="1"/>
        <v>2</v>
      </c>
      <c r="J7" s="408">
        <f t="shared" si="2"/>
        <v>0</v>
      </c>
    </row>
    <row r="8" spans="1:10" ht="15.75" thickBot="1">
      <c r="A8" s="586"/>
      <c r="B8" s="458"/>
      <c r="C8" s="458"/>
      <c r="D8" s="459">
        <v>2</v>
      </c>
      <c r="E8" s="460">
        <v>2</v>
      </c>
      <c r="F8" s="461" t="s">
        <v>163</v>
      </c>
      <c r="G8" s="465"/>
      <c r="H8" s="464">
        <f t="shared" si="0"/>
        <v>1</v>
      </c>
      <c r="I8" s="464">
        <f t="shared" si="1"/>
        <v>1</v>
      </c>
      <c r="J8" s="464">
        <f t="shared" si="2"/>
        <v>1</v>
      </c>
    </row>
    <row r="9" spans="1:10" ht="15.75" customHeight="1" thickBot="1">
      <c r="A9" s="585" t="s">
        <v>164</v>
      </c>
      <c r="B9" s="29">
        <v>342</v>
      </c>
      <c r="C9" s="29">
        <v>2</v>
      </c>
      <c r="D9" s="10">
        <v>2</v>
      </c>
      <c r="E9" s="95">
        <v>1</v>
      </c>
      <c r="F9" s="90" t="s">
        <v>165</v>
      </c>
      <c r="G9" s="465"/>
      <c r="H9" s="408">
        <f t="shared" si="0"/>
        <v>1</v>
      </c>
      <c r="I9" s="408">
        <f t="shared" si="1"/>
        <v>1</v>
      </c>
      <c r="J9" s="408">
        <f t="shared" si="2"/>
        <v>1</v>
      </c>
    </row>
    <row r="10" spans="1:10" ht="15.75" thickBot="1">
      <c r="A10" s="586"/>
      <c r="B10" s="458"/>
      <c r="C10" s="458"/>
      <c r="D10" s="459">
        <v>2</v>
      </c>
      <c r="E10" s="460">
        <v>2</v>
      </c>
      <c r="F10" s="461" t="s">
        <v>166</v>
      </c>
      <c r="G10" s="462" t="s">
        <v>167</v>
      </c>
      <c r="H10" s="464">
        <f t="shared" si="0"/>
        <v>1</v>
      </c>
      <c r="I10" s="464">
        <f t="shared" si="1"/>
        <v>2</v>
      </c>
      <c r="J10" s="464">
        <f t="shared" si="2"/>
        <v>0</v>
      </c>
    </row>
    <row r="11" spans="1:10" ht="15.75" customHeight="1" thickBot="1">
      <c r="A11" s="585" t="s">
        <v>168</v>
      </c>
      <c r="B11" s="29">
        <v>201</v>
      </c>
      <c r="C11" s="29">
        <v>2</v>
      </c>
      <c r="D11" s="10">
        <v>2</v>
      </c>
      <c r="E11" s="95">
        <v>1</v>
      </c>
      <c r="F11" s="90" t="s">
        <v>169</v>
      </c>
      <c r="G11" s="101" t="s">
        <v>170</v>
      </c>
      <c r="H11" s="408">
        <f t="shared" si="0"/>
        <v>1</v>
      </c>
      <c r="I11" s="408">
        <f t="shared" si="1"/>
        <v>2</v>
      </c>
      <c r="J11" s="408">
        <f t="shared" si="2"/>
        <v>0</v>
      </c>
    </row>
    <row r="12" spans="1:10" ht="15.75" thickBot="1">
      <c r="A12" s="586"/>
      <c r="B12" s="458"/>
      <c r="C12" s="458"/>
      <c r="D12" s="459">
        <v>2</v>
      </c>
      <c r="E12" s="460">
        <v>2</v>
      </c>
      <c r="F12" s="461" t="s">
        <v>171</v>
      </c>
      <c r="G12" s="462" t="s">
        <v>172</v>
      </c>
      <c r="H12" s="464">
        <f t="shared" si="0"/>
        <v>1</v>
      </c>
      <c r="I12" s="464">
        <f t="shared" si="1"/>
        <v>2</v>
      </c>
      <c r="J12" s="464">
        <f t="shared" si="2"/>
        <v>0</v>
      </c>
    </row>
    <row r="13" spans="1:10" ht="15.75" customHeight="1" thickBot="1">
      <c r="A13" s="585" t="s">
        <v>173</v>
      </c>
      <c r="B13" s="29">
        <v>218</v>
      </c>
      <c r="C13" s="29">
        <v>2</v>
      </c>
      <c r="D13" s="10">
        <v>2</v>
      </c>
      <c r="E13" s="95">
        <v>1</v>
      </c>
      <c r="F13" s="90" t="s">
        <v>174</v>
      </c>
      <c r="G13" s="101" t="s">
        <v>175</v>
      </c>
      <c r="H13" s="408">
        <f t="shared" si="0"/>
        <v>1</v>
      </c>
      <c r="I13" s="408">
        <f t="shared" si="1"/>
        <v>2</v>
      </c>
      <c r="J13" s="408">
        <f t="shared" si="2"/>
        <v>0</v>
      </c>
    </row>
    <row r="14" spans="1:10" ht="15.75" thickBot="1">
      <c r="A14" s="586"/>
      <c r="B14" s="458"/>
      <c r="C14" s="458"/>
      <c r="D14" s="459">
        <v>2</v>
      </c>
      <c r="E14" s="460">
        <v>2</v>
      </c>
      <c r="F14" s="461" t="s">
        <v>176</v>
      </c>
      <c r="G14" s="462" t="s">
        <v>177</v>
      </c>
      <c r="H14" s="464">
        <f t="shared" si="0"/>
        <v>1</v>
      </c>
      <c r="I14" s="464">
        <f t="shared" si="1"/>
        <v>2</v>
      </c>
      <c r="J14" s="464">
        <f t="shared" si="2"/>
        <v>0</v>
      </c>
    </row>
    <row r="15" spans="1:10" ht="15.75" thickBot="1">
      <c r="C15" s="151"/>
      <c r="H15" s="463">
        <f>SUM(H3:H14)</f>
        <v>12</v>
      </c>
      <c r="I15" s="463">
        <f t="shared" ref="I15:J15" si="3">SUM(I3:I14)</f>
        <v>20</v>
      </c>
      <c r="J15" s="463">
        <f t="shared" si="3"/>
        <v>4</v>
      </c>
    </row>
    <row r="16" spans="1:10" ht="36.75" thickBot="1">
      <c r="H16" s="115" t="s">
        <v>8</v>
      </c>
      <c r="I16" s="115" t="s">
        <v>9</v>
      </c>
      <c r="J16" s="115" t="s">
        <v>10</v>
      </c>
    </row>
    <row r="19" spans="1:7">
      <c r="A19" s="466" t="s">
        <v>178</v>
      </c>
      <c r="B19" s="467" t="s">
        <v>179</v>
      </c>
      <c r="C19" s="467" t="s">
        <v>180</v>
      </c>
      <c r="D19" s="467" t="s">
        <v>181</v>
      </c>
      <c r="E19" s="467" t="s">
        <v>182</v>
      </c>
      <c r="F19" s="467" t="s">
        <v>183</v>
      </c>
      <c r="G19" s="468" t="s">
        <v>184</v>
      </c>
    </row>
    <row r="20" spans="1:7">
      <c r="A20" s="123" t="s">
        <v>155</v>
      </c>
      <c r="B20" s="90" t="s">
        <v>185</v>
      </c>
      <c r="C20" s="95">
        <v>118</v>
      </c>
      <c r="D20" s="90" t="s">
        <v>186</v>
      </c>
      <c r="E20" s="90">
        <v>3196310140</v>
      </c>
      <c r="F20" s="90" t="s">
        <v>187</v>
      </c>
      <c r="G20" s="101" t="s">
        <v>188</v>
      </c>
    </row>
    <row r="21" spans="1:7">
      <c r="A21" s="123" t="s">
        <v>153</v>
      </c>
      <c r="B21" s="90" t="s">
        <v>185</v>
      </c>
      <c r="C21" s="95">
        <v>118</v>
      </c>
      <c r="D21" s="90" t="s">
        <v>189</v>
      </c>
      <c r="E21" s="90" t="s">
        <v>190</v>
      </c>
      <c r="F21" s="90" t="s">
        <v>191</v>
      </c>
      <c r="G21" s="101" t="s">
        <v>188</v>
      </c>
    </row>
    <row r="22" spans="1:7">
      <c r="A22" s="123" t="s">
        <v>154</v>
      </c>
      <c r="B22" s="90" t="s">
        <v>185</v>
      </c>
      <c r="C22" s="95">
        <v>118</v>
      </c>
      <c r="D22" s="90" t="s">
        <v>192</v>
      </c>
      <c r="E22" s="90">
        <v>7633705228</v>
      </c>
      <c r="F22" s="90" t="s">
        <v>191</v>
      </c>
      <c r="G22" s="101" t="s">
        <v>188</v>
      </c>
    </row>
    <row r="23" spans="1:7">
      <c r="A23" s="441" t="s">
        <v>157</v>
      </c>
      <c r="B23" s="442" t="s">
        <v>185</v>
      </c>
      <c r="C23" s="477">
        <v>127</v>
      </c>
      <c r="D23" s="442" t="s">
        <v>193</v>
      </c>
      <c r="E23" s="442" t="s">
        <v>194</v>
      </c>
      <c r="F23" s="442" t="s">
        <v>195</v>
      </c>
      <c r="G23" s="470" t="s">
        <v>196</v>
      </c>
    </row>
    <row r="24" spans="1:7">
      <c r="A24" s="123" t="s">
        <v>158</v>
      </c>
      <c r="B24" s="90" t="s">
        <v>185</v>
      </c>
      <c r="C24" s="95">
        <v>127</v>
      </c>
      <c r="D24" s="90" t="s">
        <v>197</v>
      </c>
      <c r="E24" s="90">
        <v>6129905744</v>
      </c>
      <c r="F24" s="90" t="s">
        <v>198</v>
      </c>
      <c r="G24" s="101" t="s">
        <v>199</v>
      </c>
    </row>
    <row r="25" spans="1:7">
      <c r="A25" s="123" t="s">
        <v>159</v>
      </c>
      <c r="B25" s="90" t="s">
        <v>185</v>
      </c>
      <c r="C25" s="95">
        <v>127</v>
      </c>
      <c r="D25" s="90" t="s">
        <v>200</v>
      </c>
      <c r="E25" s="90" t="s">
        <v>201</v>
      </c>
      <c r="F25" s="90" t="s">
        <v>198</v>
      </c>
      <c r="G25" s="101" t="s">
        <v>199</v>
      </c>
    </row>
    <row r="26" spans="1:7">
      <c r="A26" s="396" t="s">
        <v>169</v>
      </c>
      <c r="B26" s="438" t="s">
        <v>185</v>
      </c>
      <c r="C26" s="476">
        <v>201</v>
      </c>
      <c r="D26" s="438" t="s">
        <v>202</v>
      </c>
      <c r="E26" s="438">
        <v>6415578659</v>
      </c>
      <c r="F26" s="438" t="s">
        <v>203</v>
      </c>
      <c r="G26" s="469" t="s">
        <v>204</v>
      </c>
    </row>
    <row r="27" spans="1:7">
      <c r="A27" s="441" t="s">
        <v>170</v>
      </c>
      <c r="B27" s="442" t="s">
        <v>185</v>
      </c>
      <c r="C27" s="477">
        <v>201</v>
      </c>
      <c r="D27" s="442" t="s">
        <v>205</v>
      </c>
      <c r="E27" s="442" t="s">
        <v>206</v>
      </c>
      <c r="F27" s="442" t="s">
        <v>207</v>
      </c>
      <c r="G27" s="470" t="s">
        <v>196</v>
      </c>
    </row>
    <row r="28" spans="1:7">
      <c r="A28" s="441" t="s">
        <v>171</v>
      </c>
      <c r="B28" s="442" t="s">
        <v>185</v>
      </c>
      <c r="C28" s="477">
        <v>201</v>
      </c>
      <c r="D28" s="442" t="s">
        <v>208</v>
      </c>
      <c r="E28" s="442" t="s">
        <v>209</v>
      </c>
      <c r="F28" s="442" t="s">
        <v>210</v>
      </c>
      <c r="G28" s="470" t="s">
        <v>196</v>
      </c>
    </row>
    <row r="29" spans="1:7">
      <c r="A29" s="396" t="s">
        <v>172</v>
      </c>
      <c r="B29" s="438" t="s">
        <v>185</v>
      </c>
      <c r="C29" s="476">
        <v>201</v>
      </c>
      <c r="D29" s="438" t="s">
        <v>211</v>
      </c>
      <c r="E29" s="438" t="s">
        <v>212</v>
      </c>
      <c r="F29" s="438" t="s">
        <v>213</v>
      </c>
      <c r="G29" s="469" t="s">
        <v>204</v>
      </c>
    </row>
    <row r="30" spans="1:7">
      <c r="A30" s="396" t="s">
        <v>174</v>
      </c>
      <c r="B30" s="438" t="s">
        <v>185</v>
      </c>
      <c r="C30" s="476">
        <v>218</v>
      </c>
      <c r="D30" s="438" t="s">
        <v>214</v>
      </c>
      <c r="E30" s="438" t="s">
        <v>215</v>
      </c>
      <c r="F30" s="438" t="s">
        <v>216</v>
      </c>
      <c r="G30" s="469" t="s">
        <v>204</v>
      </c>
    </row>
    <row r="31" spans="1:7">
      <c r="A31" s="441" t="s">
        <v>175</v>
      </c>
      <c r="B31" s="442" t="s">
        <v>185</v>
      </c>
      <c r="C31" s="477">
        <v>218</v>
      </c>
      <c r="D31" s="442" t="s">
        <v>217</v>
      </c>
      <c r="E31" s="442" t="s">
        <v>218</v>
      </c>
      <c r="F31" s="442" t="s">
        <v>219</v>
      </c>
      <c r="G31" s="470" t="s">
        <v>196</v>
      </c>
    </row>
    <row r="32" spans="1:7">
      <c r="A32" s="441" t="s">
        <v>176</v>
      </c>
      <c r="B32" s="442" t="s">
        <v>185</v>
      </c>
      <c r="C32" s="477">
        <v>218</v>
      </c>
      <c r="D32" s="442" t="s">
        <v>220</v>
      </c>
      <c r="E32" s="442">
        <v>5733085846</v>
      </c>
      <c r="F32" s="442" t="s">
        <v>221</v>
      </c>
      <c r="G32" s="470" t="s">
        <v>196</v>
      </c>
    </row>
    <row r="33" spans="1:7">
      <c r="A33" s="441" t="s">
        <v>177</v>
      </c>
      <c r="B33" s="442" t="s">
        <v>185</v>
      </c>
      <c r="C33" s="477">
        <v>218</v>
      </c>
      <c r="D33" s="442" t="s">
        <v>222</v>
      </c>
      <c r="E33" s="442">
        <v>7127976693</v>
      </c>
      <c r="F33" s="442" t="s">
        <v>219</v>
      </c>
      <c r="G33" s="470" t="s">
        <v>196</v>
      </c>
    </row>
    <row r="34" spans="1:7">
      <c r="A34" s="396" t="s">
        <v>161</v>
      </c>
      <c r="B34" s="438" t="s">
        <v>185</v>
      </c>
      <c r="C34" s="476">
        <v>315</v>
      </c>
      <c r="D34" s="438" t="s">
        <v>223</v>
      </c>
      <c r="E34" s="438">
        <v>2184570795</v>
      </c>
      <c r="F34" s="438" t="s">
        <v>219</v>
      </c>
      <c r="G34" s="469" t="s">
        <v>224</v>
      </c>
    </row>
    <row r="35" spans="1:7">
      <c r="A35" s="396" t="s">
        <v>162</v>
      </c>
      <c r="B35" s="438" t="s">
        <v>185</v>
      </c>
      <c r="C35" s="476">
        <v>315</v>
      </c>
      <c r="D35" s="438" t="s">
        <v>225</v>
      </c>
      <c r="E35" s="438">
        <v>6167805236</v>
      </c>
      <c r="F35" s="438" t="s">
        <v>213</v>
      </c>
      <c r="G35" s="469" t="s">
        <v>204</v>
      </c>
    </row>
    <row r="36" spans="1:7">
      <c r="A36" s="396" t="s">
        <v>163</v>
      </c>
      <c r="B36" s="438" t="s">
        <v>185</v>
      </c>
      <c r="C36" s="476">
        <v>315</v>
      </c>
      <c r="D36" s="438" t="s">
        <v>226</v>
      </c>
      <c r="E36" s="438">
        <v>6466124038</v>
      </c>
      <c r="F36" s="438" t="s">
        <v>227</v>
      </c>
      <c r="G36" s="469" t="s">
        <v>204</v>
      </c>
    </row>
    <row r="37" spans="1:7">
      <c r="A37" s="123" t="s">
        <v>165</v>
      </c>
      <c r="B37" s="90" t="s">
        <v>185</v>
      </c>
      <c r="C37" s="95">
        <v>342</v>
      </c>
      <c r="D37" s="90" t="s">
        <v>228</v>
      </c>
      <c r="E37" s="90" t="s">
        <v>229</v>
      </c>
      <c r="F37" s="90" t="s">
        <v>230</v>
      </c>
      <c r="G37" s="101" t="s">
        <v>199</v>
      </c>
    </row>
    <row r="38" spans="1:7">
      <c r="A38" s="123" t="s">
        <v>166</v>
      </c>
      <c r="B38" s="90" t="s">
        <v>185</v>
      </c>
      <c r="C38" s="95">
        <v>342</v>
      </c>
      <c r="D38" s="90" t="s">
        <v>231</v>
      </c>
      <c r="E38" s="90">
        <v>5736124156</v>
      </c>
      <c r="F38" s="90" t="s">
        <v>221</v>
      </c>
      <c r="G38" s="101" t="s">
        <v>188</v>
      </c>
    </row>
    <row r="39" spans="1:7">
      <c r="A39" s="396" t="s">
        <v>167</v>
      </c>
      <c r="B39" s="438" t="s">
        <v>185</v>
      </c>
      <c r="C39" s="476" t="s">
        <v>232</v>
      </c>
      <c r="D39" s="438" t="s">
        <v>233</v>
      </c>
      <c r="E39" s="438" t="s">
        <v>234</v>
      </c>
      <c r="F39" s="438" t="s">
        <v>191</v>
      </c>
      <c r="G39" s="469" t="s">
        <v>204</v>
      </c>
    </row>
    <row r="40" spans="1:7">
      <c r="A40" s="396" t="s">
        <v>235</v>
      </c>
      <c r="B40" s="438" t="s">
        <v>236</v>
      </c>
      <c r="C40" s="439" t="s">
        <v>237</v>
      </c>
      <c r="D40" s="438" t="s">
        <v>238</v>
      </c>
      <c r="E40" s="438" t="s">
        <v>239</v>
      </c>
      <c r="F40" s="438" t="s">
        <v>240</v>
      </c>
      <c r="G40" s="469" t="s">
        <v>204</v>
      </c>
    </row>
    <row r="41" spans="1:7">
      <c r="A41" s="441" t="s">
        <v>241</v>
      </c>
      <c r="B41" s="442" t="s">
        <v>236</v>
      </c>
      <c r="C41" s="443" t="s">
        <v>237</v>
      </c>
      <c r="D41" s="442" t="s">
        <v>242</v>
      </c>
      <c r="E41" s="442" t="s">
        <v>243</v>
      </c>
      <c r="F41" s="442" t="s">
        <v>244</v>
      </c>
      <c r="G41" s="470" t="s">
        <v>196</v>
      </c>
    </row>
    <row r="42" spans="1:7">
      <c r="A42" s="475" t="s">
        <v>245</v>
      </c>
      <c r="B42" s="438" t="s">
        <v>236</v>
      </c>
      <c r="C42" s="439" t="s">
        <v>237</v>
      </c>
      <c r="D42" s="438" t="s">
        <v>246</v>
      </c>
      <c r="E42" s="438" t="s">
        <v>247</v>
      </c>
      <c r="F42" s="438" t="s">
        <v>248</v>
      </c>
      <c r="G42" s="469" t="s">
        <v>204</v>
      </c>
    </row>
    <row r="43" spans="1:7">
      <c r="A43" s="396" t="s">
        <v>249</v>
      </c>
      <c r="B43" s="438" t="s">
        <v>236</v>
      </c>
      <c r="C43" s="439" t="s">
        <v>237</v>
      </c>
      <c r="D43" s="438" t="s">
        <v>250</v>
      </c>
      <c r="E43" s="438" t="s">
        <v>251</v>
      </c>
      <c r="F43" s="438" t="s">
        <v>252</v>
      </c>
      <c r="G43" s="469" t="s">
        <v>204</v>
      </c>
    </row>
    <row r="44" spans="1:7">
      <c r="A44" s="471" t="s">
        <v>253</v>
      </c>
      <c r="B44" s="472" t="s">
        <v>236</v>
      </c>
      <c r="C44" s="478" t="s">
        <v>237</v>
      </c>
      <c r="D44" s="472" t="s">
        <v>254</v>
      </c>
      <c r="E44" s="472" t="s">
        <v>255</v>
      </c>
      <c r="F44" s="472" t="s">
        <v>256</v>
      </c>
      <c r="G44" s="473" t="s">
        <v>257</v>
      </c>
    </row>
    <row r="45" spans="1:7">
      <c r="A45" s="471" t="s">
        <v>258</v>
      </c>
      <c r="B45" s="472" t="s">
        <v>236</v>
      </c>
      <c r="C45" s="478" t="s">
        <v>237</v>
      </c>
      <c r="D45" s="472" t="s">
        <v>259</v>
      </c>
      <c r="E45" s="472" t="s">
        <v>260</v>
      </c>
      <c r="F45" s="472" t="s">
        <v>261</v>
      </c>
      <c r="G45" s="473" t="s">
        <v>257</v>
      </c>
    </row>
    <row r="46" spans="1:7">
      <c r="A46" s="471" t="s">
        <v>262</v>
      </c>
      <c r="B46" s="472" t="s">
        <v>236</v>
      </c>
      <c r="C46" s="478" t="s">
        <v>237</v>
      </c>
      <c r="D46" s="472" t="s">
        <v>263</v>
      </c>
      <c r="E46" s="472" t="s">
        <v>264</v>
      </c>
      <c r="F46" s="472" t="s">
        <v>265</v>
      </c>
      <c r="G46" s="473" t="s">
        <v>257</v>
      </c>
    </row>
    <row r="47" spans="1:7">
      <c r="A47" s="471" t="s">
        <v>266</v>
      </c>
      <c r="B47" s="472" t="s">
        <v>236</v>
      </c>
      <c r="C47" s="478" t="s">
        <v>237</v>
      </c>
      <c r="D47" s="472" t="s">
        <v>267</v>
      </c>
      <c r="E47" s="472" t="s">
        <v>268</v>
      </c>
      <c r="F47" s="472" t="s">
        <v>207</v>
      </c>
      <c r="G47" s="473" t="s">
        <v>257</v>
      </c>
    </row>
    <row r="48" spans="1:7">
      <c r="A48" s="396" t="s">
        <v>269</v>
      </c>
      <c r="B48" s="438" t="s">
        <v>236</v>
      </c>
      <c r="C48" s="439" t="s">
        <v>237</v>
      </c>
      <c r="D48" s="438" t="s">
        <v>270</v>
      </c>
      <c r="E48" s="438" t="s">
        <v>271</v>
      </c>
      <c r="F48" s="438" t="s">
        <v>272</v>
      </c>
      <c r="G48" s="469" t="s">
        <v>204</v>
      </c>
    </row>
    <row r="49" spans="1:7">
      <c r="A49" s="453" t="s">
        <v>273</v>
      </c>
      <c r="B49" s="454" t="s">
        <v>236</v>
      </c>
      <c r="C49" s="455" t="s">
        <v>237</v>
      </c>
      <c r="D49" s="454" t="s">
        <v>274</v>
      </c>
      <c r="E49" s="454" t="s">
        <v>275</v>
      </c>
      <c r="F49" s="454" t="s">
        <v>203</v>
      </c>
      <c r="G49" s="474" t="s">
        <v>204</v>
      </c>
    </row>
  </sheetData>
  <mergeCells count="6">
    <mergeCell ref="A13:A14"/>
    <mergeCell ref="A3:A4"/>
    <mergeCell ref="A5:A6"/>
    <mergeCell ref="A7:A8"/>
    <mergeCell ref="A9:A10"/>
    <mergeCell ref="A11:A1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1AB3-1F62-4F63-BEA5-EA944AAFC585}">
  <sheetPr>
    <tabColor rgb="FF92D050"/>
  </sheetPr>
  <dimension ref="A1:W61"/>
  <sheetViews>
    <sheetView zoomScale="120" zoomScaleNormal="120" workbookViewId="0">
      <selection activeCell="A6" sqref="A6:A7"/>
    </sheetView>
  </sheetViews>
  <sheetFormatPr defaultRowHeight="15"/>
  <cols>
    <col min="3" max="3" width="12.85546875" bestFit="1" customWidth="1"/>
    <col min="4" max="4" width="10.85546875" bestFit="1" customWidth="1"/>
    <col min="5" max="5" width="18" bestFit="1" customWidth="1"/>
    <col min="6" max="6" width="33.7109375" customWidth="1"/>
    <col min="7" max="7" width="33.5703125" customWidth="1"/>
    <col min="8" max="8" width="15.85546875" customWidth="1"/>
    <col min="9" max="9" width="11.42578125" bestFit="1" customWidth="1"/>
    <col min="13" max="13" width="34.7109375" customWidth="1"/>
    <col min="14" max="14" width="12.7109375" customWidth="1"/>
    <col min="15" max="15" width="3.28515625" customWidth="1"/>
    <col min="16" max="16" width="34.7109375" customWidth="1"/>
    <col min="17" max="17" width="12.7109375" customWidth="1"/>
    <col min="18" max="18" width="3" customWidth="1"/>
    <col min="19" max="19" width="34.7109375" customWidth="1"/>
    <col min="20" max="20" width="12.7109375" customWidth="1"/>
    <col min="21" max="21" width="3" customWidth="1"/>
    <col min="22" max="22" width="34.7109375" customWidth="1"/>
    <col min="23" max="23" width="12.7109375" customWidth="1"/>
  </cols>
  <sheetData>
    <row r="1" spans="1:23" ht="15.75" thickBot="1">
      <c r="B1" s="589" t="s">
        <v>276</v>
      </c>
      <c r="C1" s="549"/>
      <c r="D1" s="549"/>
      <c r="E1" s="549"/>
      <c r="F1" s="549"/>
      <c r="G1" s="549"/>
    </row>
    <row r="2" spans="1:23" ht="30.75" thickBot="1">
      <c r="A2" s="90" t="s">
        <v>277</v>
      </c>
      <c r="B2" s="305" t="s">
        <v>3</v>
      </c>
      <c r="C2" s="305" t="s">
        <v>105</v>
      </c>
      <c r="D2" s="305" t="s">
        <v>5</v>
      </c>
      <c r="E2" s="305" t="s">
        <v>106</v>
      </c>
      <c r="F2" s="306" t="s">
        <v>130</v>
      </c>
      <c r="G2" s="306" t="s">
        <v>131</v>
      </c>
      <c r="H2" s="96" t="s">
        <v>8</v>
      </c>
      <c r="I2" s="96" t="s">
        <v>9</v>
      </c>
      <c r="J2" s="96" t="s">
        <v>10</v>
      </c>
      <c r="M2" s="323" t="s">
        <v>99</v>
      </c>
      <c r="N2" s="166" t="s">
        <v>100</v>
      </c>
      <c r="O2" s="286"/>
      <c r="P2" s="324" t="s">
        <v>101</v>
      </c>
      <c r="Q2" s="166" t="s">
        <v>102</v>
      </c>
      <c r="S2" s="323" t="s">
        <v>103</v>
      </c>
      <c r="T2" s="166" t="s">
        <v>100</v>
      </c>
      <c r="U2" s="286"/>
      <c r="V2" s="324" t="s">
        <v>104</v>
      </c>
      <c r="W2" s="166" t="s">
        <v>102</v>
      </c>
    </row>
    <row r="3" spans="1:23" ht="21.95" customHeight="1">
      <c r="A3" s="588" t="s">
        <v>278</v>
      </c>
      <c r="B3" s="590">
        <v>200</v>
      </c>
      <c r="C3" s="590">
        <v>3</v>
      </c>
      <c r="D3" s="117">
        <v>2</v>
      </c>
      <c r="E3" s="117">
        <v>1</v>
      </c>
      <c r="F3" s="117" t="s">
        <v>279</v>
      </c>
      <c r="G3" s="312" t="s">
        <v>280</v>
      </c>
      <c r="H3" s="99">
        <f>COUNTA(F3)</f>
        <v>1</v>
      </c>
      <c r="I3" s="138">
        <f>COUNTA(F3:G3)</f>
        <v>2</v>
      </c>
      <c r="J3" s="99">
        <f>D3-I3</f>
        <v>0</v>
      </c>
      <c r="K3" s="587"/>
      <c r="M3" s="312" t="s">
        <v>281</v>
      </c>
      <c r="N3" s="158">
        <v>46143</v>
      </c>
      <c r="P3" s="295"/>
      <c r="Q3" s="158"/>
      <c r="S3" s="295"/>
      <c r="T3" s="158"/>
      <c r="V3" s="295"/>
      <c r="W3" s="158"/>
    </row>
    <row r="4" spans="1:23" ht="21.95" customHeight="1">
      <c r="A4" s="588"/>
      <c r="B4" s="592"/>
      <c r="C4" s="592"/>
      <c r="D4" s="117">
        <v>2</v>
      </c>
      <c r="E4" s="117">
        <v>2</v>
      </c>
      <c r="F4" s="117" t="s">
        <v>282</v>
      </c>
      <c r="G4" s="536" t="s">
        <v>281</v>
      </c>
      <c r="H4" s="315">
        <f t="shared" ref="H4:H7" si="0">COUNTA(F4)</f>
        <v>1</v>
      </c>
      <c r="I4" s="313">
        <f t="shared" ref="I4:I7" si="1">COUNTA(F4:G4)</f>
        <v>2</v>
      </c>
      <c r="J4" s="315">
        <f t="shared" ref="J4:J7" si="2">D4-I4</f>
        <v>0</v>
      </c>
      <c r="K4" s="587"/>
      <c r="M4" s="296"/>
      <c r="N4" s="158"/>
      <c r="P4" s="292"/>
      <c r="Q4" s="158"/>
    </row>
    <row r="5" spans="1:23" ht="21.95" customHeight="1">
      <c r="A5" s="588"/>
      <c r="B5" s="591"/>
      <c r="C5" s="591"/>
      <c r="D5" s="117">
        <v>2</v>
      </c>
      <c r="E5" s="117">
        <v>3</v>
      </c>
      <c r="F5" s="117" t="s">
        <v>283</v>
      </c>
      <c r="G5" s="312" t="s">
        <v>284</v>
      </c>
      <c r="H5" s="315">
        <f t="shared" si="0"/>
        <v>1</v>
      </c>
      <c r="I5" s="313">
        <f t="shared" si="1"/>
        <v>2</v>
      </c>
      <c r="J5" s="315">
        <f t="shared" si="2"/>
        <v>0</v>
      </c>
      <c r="K5" s="587"/>
      <c r="M5" s="296"/>
      <c r="N5" s="158"/>
      <c r="P5" s="90"/>
      <c r="Q5" s="90"/>
    </row>
    <row r="6" spans="1:23" ht="21.95" customHeight="1">
      <c r="A6" s="588" t="s">
        <v>285</v>
      </c>
      <c r="B6" s="590">
        <v>108</v>
      </c>
      <c r="C6" s="590">
        <v>2</v>
      </c>
      <c r="D6" s="117">
        <v>2</v>
      </c>
      <c r="E6" s="117">
        <v>1</v>
      </c>
      <c r="F6" s="117" t="s">
        <v>286</v>
      </c>
      <c r="G6" s="312" t="s">
        <v>287</v>
      </c>
      <c r="H6" s="315">
        <f t="shared" si="0"/>
        <v>1</v>
      </c>
      <c r="I6" s="313">
        <f t="shared" si="1"/>
        <v>2</v>
      </c>
      <c r="J6" s="315">
        <f t="shared" si="2"/>
        <v>0</v>
      </c>
      <c r="K6" s="587" t="s">
        <v>288</v>
      </c>
      <c r="M6" s="296"/>
      <c r="N6" s="158"/>
      <c r="P6" s="90"/>
      <c r="Q6" s="90"/>
    </row>
    <row r="7" spans="1:23" ht="21.95" customHeight="1" thickBot="1">
      <c r="A7" s="588"/>
      <c r="B7" s="591"/>
      <c r="C7" s="591"/>
      <c r="D7" s="117">
        <v>2</v>
      </c>
      <c r="E7" s="117">
        <v>2</v>
      </c>
      <c r="F7" s="117" t="s">
        <v>289</v>
      </c>
      <c r="G7" s="312"/>
      <c r="H7" s="316">
        <f t="shared" si="0"/>
        <v>1</v>
      </c>
      <c r="I7" s="314">
        <f t="shared" si="1"/>
        <v>1</v>
      </c>
      <c r="J7" s="316">
        <f t="shared" si="2"/>
        <v>1</v>
      </c>
      <c r="K7" s="587"/>
      <c r="M7" s="296"/>
      <c r="N7" s="158"/>
      <c r="P7" s="90"/>
      <c r="Q7" s="90"/>
    </row>
    <row r="8" spans="1:23" ht="21.95" hidden="1" customHeight="1" thickBot="1">
      <c r="A8" s="328"/>
      <c r="B8" s="307"/>
      <c r="C8" s="307"/>
      <c r="D8" s="117"/>
      <c r="E8" s="117"/>
      <c r="F8" s="117"/>
      <c r="G8" s="312"/>
      <c r="H8" s="316">
        <f t="shared" ref="H8:H15" si="3">COUNTA(F8)</f>
        <v>0</v>
      </c>
      <c r="I8" s="314">
        <f>COUNTA(F8:G8)</f>
        <v>0</v>
      </c>
      <c r="J8" s="316">
        <f>D8-I8</f>
        <v>0</v>
      </c>
      <c r="M8" s="298"/>
      <c r="N8" s="158"/>
      <c r="P8" s="90"/>
      <c r="Q8" s="90"/>
    </row>
    <row r="9" spans="1:23" ht="21.95" hidden="1" customHeight="1" thickBot="1">
      <c r="A9" s="329"/>
      <c r="B9" s="308"/>
      <c r="C9" s="308"/>
      <c r="D9" s="117"/>
      <c r="E9" s="117"/>
      <c r="F9" s="117"/>
      <c r="G9" s="312"/>
      <c r="H9" s="316">
        <f t="shared" si="3"/>
        <v>0</v>
      </c>
      <c r="I9" s="314">
        <f>COUNTA(F9:G9)</f>
        <v>0</v>
      </c>
      <c r="J9" s="316">
        <f t="shared" ref="J9:J10" si="4">D9-I9</f>
        <v>0</v>
      </c>
      <c r="M9" s="298"/>
      <c r="N9" s="158"/>
      <c r="P9" s="90"/>
      <c r="Q9" s="90"/>
    </row>
    <row r="10" spans="1:23" ht="21.95" hidden="1" customHeight="1" thickBot="1">
      <c r="A10" s="329"/>
      <c r="B10" s="308"/>
      <c r="C10" s="308"/>
      <c r="D10" s="117"/>
      <c r="E10" s="117"/>
      <c r="F10" s="117"/>
      <c r="G10" s="312"/>
      <c r="H10" s="316">
        <f t="shared" si="3"/>
        <v>0</v>
      </c>
      <c r="I10" s="314">
        <f>COUNTA(F10:G10)</f>
        <v>0</v>
      </c>
      <c r="J10" s="316">
        <f t="shared" si="4"/>
        <v>0</v>
      </c>
      <c r="M10" s="296"/>
      <c r="N10" s="158"/>
      <c r="P10" s="90"/>
      <c r="Q10" s="90"/>
    </row>
    <row r="11" spans="1:23" ht="21.95" hidden="1" customHeight="1" thickBot="1">
      <c r="A11" s="329"/>
      <c r="B11" s="308"/>
      <c r="C11" s="308"/>
      <c r="D11" s="117"/>
      <c r="E11" s="117"/>
      <c r="F11" s="117"/>
      <c r="G11" s="312"/>
      <c r="H11" s="316">
        <f t="shared" si="3"/>
        <v>0</v>
      </c>
      <c r="I11" s="314">
        <f t="shared" ref="I11:I14" si="5">COUNTA(F11:G11)</f>
        <v>0</v>
      </c>
      <c r="J11" s="316">
        <f t="shared" ref="J11:J14" si="6">D11-I11</f>
        <v>0</v>
      </c>
      <c r="M11" s="296"/>
      <c r="N11" s="158"/>
      <c r="P11" s="90"/>
      <c r="Q11" s="90"/>
    </row>
    <row r="12" spans="1:23" ht="21.95" hidden="1" customHeight="1" thickBot="1">
      <c r="A12" s="329"/>
      <c r="B12" s="308"/>
      <c r="C12" s="308"/>
      <c r="D12" s="117"/>
      <c r="E12" s="117"/>
      <c r="F12" s="117"/>
      <c r="G12" s="312"/>
      <c r="H12" s="316">
        <f t="shared" si="3"/>
        <v>0</v>
      </c>
      <c r="I12" s="314">
        <f t="shared" si="5"/>
        <v>0</v>
      </c>
      <c r="J12" s="316">
        <f t="shared" si="6"/>
        <v>0</v>
      </c>
      <c r="M12" s="298"/>
      <c r="N12" s="158"/>
      <c r="P12" s="90"/>
      <c r="Q12" s="90"/>
    </row>
    <row r="13" spans="1:23" ht="21.95" hidden="1" customHeight="1" thickBot="1">
      <c r="A13" s="329"/>
      <c r="B13" s="308"/>
      <c r="C13" s="308"/>
      <c r="D13" s="117"/>
      <c r="E13" s="117"/>
      <c r="F13" s="117"/>
      <c r="G13" s="312"/>
      <c r="H13" s="316">
        <f t="shared" si="3"/>
        <v>0</v>
      </c>
      <c r="I13" s="314">
        <f t="shared" si="5"/>
        <v>0</v>
      </c>
      <c r="J13" s="316">
        <f t="shared" si="6"/>
        <v>0</v>
      </c>
      <c r="M13" s="298"/>
      <c r="N13" s="158"/>
      <c r="P13" s="90"/>
      <c r="Q13" s="90"/>
    </row>
    <row r="14" spans="1:23" ht="21.95" hidden="1" customHeight="1" thickBot="1">
      <c r="A14" s="329"/>
      <c r="B14" s="308"/>
      <c r="C14" s="308"/>
      <c r="D14" s="117"/>
      <c r="E14" s="117"/>
      <c r="F14" s="117"/>
      <c r="G14" s="312"/>
      <c r="H14" s="316">
        <f t="shared" si="3"/>
        <v>0</v>
      </c>
      <c r="I14" s="314">
        <f t="shared" si="5"/>
        <v>0</v>
      </c>
      <c r="J14" s="316">
        <f t="shared" si="6"/>
        <v>0</v>
      </c>
      <c r="M14" s="298"/>
      <c r="N14" s="158"/>
      <c r="P14" s="124"/>
      <c r="Q14" s="90"/>
    </row>
    <row r="15" spans="1:23" ht="21.95" hidden="1" customHeight="1" thickBot="1">
      <c r="A15" s="330"/>
      <c r="B15" s="309"/>
      <c r="C15" s="309"/>
      <c r="D15" s="117"/>
      <c r="E15" s="117"/>
      <c r="F15" s="117"/>
      <c r="G15" s="312"/>
      <c r="H15" s="316">
        <f t="shared" si="3"/>
        <v>0</v>
      </c>
      <c r="I15" s="314">
        <f t="shared" ref="I15" si="7">COUNTA(F15:G15)</f>
        <v>0</v>
      </c>
      <c r="J15" s="316">
        <f t="shared" ref="J15" si="8">D15-I15</f>
        <v>0</v>
      </c>
      <c r="M15" s="298"/>
      <c r="N15" s="158"/>
      <c r="P15" s="124"/>
      <c r="Q15" s="90"/>
    </row>
    <row r="16" spans="1:23" ht="19.5" thickBot="1">
      <c r="B16" s="2"/>
      <c r="C16" s="2"/>
      <c r="D16" s="2"/>
      <c r="E16" s="2"/>
      <c r="F16" s="2"/>
      <c r="G16" s="2"/>
      <c r="H16" s="317">
        <f>SUM(H3:H7)</f>
        <v>5</v>
      </c>
      <c r="I16" s="318">
        <f t="shared" ref="I16:J16" si="9">SUM(I3:I7)</f>
        <v>9</v>
      </c>
      <c r="J16" s="317">
        <f t="shared" si="9"/>
        <v>1</v>
      </c>
      <c r="M16" s="298"/>
      <c r="N16" s="158"/>
      <c r="P16" s="124"/>
      <c r="Q16" s="90"/>
    </row>
    <row r="17" spans="5:17" ht="24.75" thickBot="1">
      <c r="H17" s="115" t="s">
        <v>8</v>
      </c>
      <c r="I17" s="115" t="s">
        <v>9</v>
      </c>
      <c r="J17" s="115" t="s">
        <v>10</v>
      </c>
      <c r="M17" s="298"/>
      <c r="N17" s="158"/>
      <c r="P17" s="124"/>
      <c r="Q17" s="90"/>
    </row>
    <row r="18" spans="5:17">
      <c r="M18" s="298"/>
      <c r="N18" s="158"/>
      <c r="P18" s="124"/>
      <c r="Q18" s="90"/>
    </row>
    <row r="19" spans="5:17">
      <c r="M19" s="331"/>
      <c r="N19" s="158"/>
      <c r="P19" s="298"/>
      <c r="Q19" s="158"/>
    </row>
    <row r="20" spans="5:17">
      <c r="M20" s="292"/>
      <c r="N20" s="158"/>
      <c r="P20" s="124"/>
      <c r="Q20" s="90"/>
    </row>
    <row r="21" spans="5:17">
      <c r="E21" s="310" t="s">
        <v>290</v>
      </c>
      <c r="F21" s="310" t="s">
        <v>291</v>
      </c>
      <c r="G21" s="310" t="s">
        <v>292</v>
      </c>
      <c r="H21" s="310" t="s">
        <v>293</v>
      </c>
      <c r="I21" s="310" t="s">
        <v>294</v>
      </c>
      <c r="M21" s="292"/>
      <c r="N21" s="158"/>
      <c r="P21" s="124"/>
      <c r="Q21" s="90"/>
    </row>
    <row r="22" spans="5:17">
      <c r="E22" s="35" t="s">
        <v>279</v>
      </c>
      <c r="F22" t="s">
        <v>295</v>
      </c>
      <c r="G22" t="s">
        <v>296</v>
      </c>
      <c r="H22" t="s">
        <v>297</v>
      </c>
      <c r="I22" t="s">
        <v>298</v>
      </c>
      <c r="M22" s="292"/>
      <c r="N22" s="158"/>
      <c r="P22" s="124"/>
      <c r="Q22" s="90"/>
    </row>
    <row r="23" spans="5:17">
      <c r="E23" s="35" t="s">
        <v>284</v>
      </c>
      <c r="F23" t="s">
        <v>299</v>
      </c>
      <c r="G23" t="s">
        <v>300</v>
      </c>
      <c r="H23" t="s">
        <v>297</v>
      </c>
      <c r="I23" t="s">
        <v>298</v>
      </c>
      <c r="M23" s="296"/>
      <c r="N23" s="158"/>
      <c r="P23" s="124"/>
      <c r="Q23" s="90"/>
    </row>
    <row r="24" spans="5:17">
      <c r="E24" s="35" t="s">
        <v>280</v>
      </c>
      <c r="F24" t="s">
        <v>301</v>
      </c>
      <c r="G24" t="s">
        <v>302</v>
      </c>
      <c r="H24" t="s">
        <v>297</v>
      </c>
      <c r="I24" t="s">
        <v>298</v>
      </c>
      <c r="M24" s="295"/>
      <c r="N24" s="158"/>
      <c r="P24" s="124"/>
      <c r="Q24" s="90"/>
    </row>
    <row r="25" spans="5:17">
      <c r="E25" s="35" t="s">
        <v>282</v>
      </c>
      <c r="F25" t="s">
        <v>303</v>
      </c>
      <c r="G25" t="s">
        <v>304</v>
      </c>
      <c r="H25" t="s">
        <v>297</v>
      </c>
      <c r="I25" t="s">
        <v>298</v>
      </c>
      <c r="M25" s="298"/>
      <c r="N25" s="158"/>
      <c r="P25" s="298"/>
      <c r="Q25" s="158"/>
    </row>
    <row r="26" spans="5:17">
      <c r="E26" s="35" t="s">
        <v>283</v>
      </c>
      <c r="F26" t="s">
        <v>305</v>
      </c>
      <c r="G26" t="s">
        <v>306</v>
      </c>
      <c r="H26" t="s">
        <v>297</v>
      </c>
      <c r="I26" t="s">
        <v>298</v>
      </c>
      <c r="M26" s="297"/>
      <c r="N26" s="158"/>
      <c r="P26" s="124"/>
      <c r="Q26" s="90"/>
    </row>
    <row r="27" spans="5:17">
      <c r="E27" s="35" t="s">
        <v>281</v>
      </c>
      <c r="M27" s="298"/>
      <c r="N27" s="158"/>
      <c r="P27" s="124"/>
      <c r="Q27" s="90"/>
    </row>
    <row r="28" spans="5:17">
      <c r="E28" s="35"/>
      <c r="M28" s="298"/>
      <c r="N28" s="158"/>
      <c r="P28" s="124"/>
      <c r="Q28" s="90"/>
    </row>
    <row r="29" spans="5:17">
      <c r="E29" s="35"/>
      <c r="P29" s="124"/>
      <c r="Q29" s="90"/>
    </row>
    <row r="30" spans="5:17">
      <c r="E30" s="35"/>
      <c r="M30" s="90"/>
      <c r="N30" s="90"/>
      <c r="P30" s="124"/>
      <c r="Q30" s="90"/>
    </row>
    <row r="31" spans="5:17">
      <c r="E31" s="35"/>
      <c r="M31" s="90"/>
      <c r="N31" s="90"/>
      <c r="P31" s="298"/>
      <c r="Q31" s="158"/>
    </row>
    <row r="32" spans="5:17">
      <c r="M32" s="90"/>
      <c r="N32" s="90"/>
      <c r="P32" s="124"/>
      <c r="Q32" s="90"/>
    </row>
    <row r="33" spans="13:17">
      <c r="M33" s="90"/>
      <c r="N33" s="90"/>
      <c r="P33" s="124"/>
      <c r="Q33" s="90"/>
    </row>
    <row r="34" spans="13:17">
      <c r="M34" s="90"/>
      <c r="N34" s="90"/>
      <c r="P34" s="124"/>
      <c r="Q34" s="90"/>
    </row>
    <row r="35" spans="13:17">
      <c r="M35" s="90"/>
      <c r="N35" s="90"/>
      <c r="P35" s="124"/>
      <c r="Q35" s="90"/>
    </row>
    <row r="36" spans="13:17">
      <c r="M36" s="90"/>
      <c r="N36" s="90"/>
      <c r="P36" s="124"/>
      <c r="Q36" s="90"/>
    </row>
    <row r="37" spans="13:17">
      <c r="M37" s="90"/>
      <c r="N37" s="90"/>
      <c r="P37" s="298"/>
      <c r="Q37" s="158"/>
    </row>
    <row r="38" spans="13:17">
      <c r="M38" s="90"/>
      <c r="N38" s="90"/>
      <c r="P38" s="90"/>
      <c r="Q38" s="90"/>
    </row>
    <row r="39" spans="13:17">
      <c r="M39" s="90"/>
      <c r="N39" s="90"/>
      <c r="P39" s="90"/>
      <c r="Q39" s="90"/>
    </row>
    <row r="40" spans="13:17">
      <c r="M40" s="90"/>
      <c r="N40" s="90"/>
      <c r="P40" s="90"/>
      <c r="Q40" s="90"/>
    </row>
    <row r="41" spans="13:17">
      <c r="M41" s="90"/>
      <c r="N41" s="90"/>
      <c r="P41" s="90"/>
      <c r="Q41" s="90"/>
    </row>
    <row r="42" spans="13:17">
      <c r="M42" s="90"/>
      <c r="N42" s="90"/>
      <c r="P42" s="90"/>
      <c r="Q42" s="90"/>
    </row>
    <row r="43" spans="13:17">
      <c r="M43" s="90"/>
      <c r="N43" s="90"/>
      <c r="P43" s="90"/>
      <c r="Q43" s="90"/>
    </row>
    <row r="44" spans="13:17">
      <c r="M44" s="90"/>
      <c r="N44" s="90"/>
      <c r="P44" s="90"/>
      <c r="Q44" s="90"/>
    </row>
    <row r="45" spans="13:17">
      <c r="M45" s="90"/>
      <c r="N45" s="90"/>
      <c r="P45" s="90"/>
      <c r="Q45" s="90"/>
    </row>
    <row r="46" spans="13:17">
      <c r="M46" s="90"/>
      <c r="N46" s="90"/>
      <c r="P46" s="90"/>
      <c r="Q46" s="90"/>
    </row>
    <row r="47" spans="13:17">
      <c r="M47" s="90"/>
      <c r="N47" s="90"/>
      <c r="P47" s="90"/>
      <c r="Q47" s="90"/>
    </row>
    <row r="48" spans="13:17">
      <c r="M48" s="90"/>
      <c r="N48" s="90"/>
      <c r="P48" s="90"/>
      <c r="Q48" s="90"/>
    </row>
    <row r="49" spans="13:17">
      <c r="M49" s="90"/>
      <c r="N49" s="90"/>
      <c r="P49" s="90"/>
      <c r="Q49" s="90"/>
    </row>
    <row r="50" spans="13:17">
      <c r="M50" s="90"/>
      <c r="N50" s="90"/>
      <c r="P50" s="90"/>
      <c r="Q50" s="90"/>
    </row>
    <row r="51" spans="13:17">
      <c r="M51" s="90"/>
      <c r="N51" s="90"/>
      <c r="P51" s="90"/>
      <c r="Q51" s="90"/>
    </row>
    <row r="52" spans="13:17">
      <c r="M52" s="90"/>
      <c r="N52" s="90"/>
      <c r="P52" s="90"/>
      <c r="Q52" s="90"/>
    </row>
    <row r="53" spans="13:17">
      <c r="M53" s="90"/>
      <c r="N53" s="90"/>
      <c r="P53" s="90"/>
      <c r="Q53" s="90"/>
    </row>
    <row r="54" spans="13:17">
      <c r="M54" s="90"/>
      <c r="N54" s="90"/>
      <c r="P54" s="90"/>
      <c r="Q54" s="90"/>
    </row>
    <row r="55" spans="13:17">
      <c r="M55" s="90"/>
      <c r="N55" s="90"/>
      <c r="P55" s="90"/>
      <c r="Q55" s="90"/>
    </row>
    <row r="56" spans="13:17">
      <c r="M56" s="90"/>
      <c r="N56" s="90"/>
      <c r="P56" s="90"/>
      <c r="Q56" s="90"/>
    </row>
    <row r="57" spans="13:17">
      <c r="M57" s="90"/>
      <c r="N57" s="90"/>
      <c r="P57" s="90"/>
      <c r="Q57" s="90"/>
    </row>
    <row r="58" spans="13:17">
      <c r="M58" s="90"/>
      <c r="N58" s="90"/>
      <c r="P58" s="90"/>
      <c r="Q58" s="90"/>
    </row>
    <row r="59" spans="13:17">
      <c r="M59" s="90"/>
      <c r="N59" s="90"/>
      <c r="P59" s="90"/>
      <c r="Q59" s="90"/>
    </row>
    <row r="60" spans="13:17">
      <c r="M60" s="90"/>
      <c r="N60" s="90"/>
      <c r="P60" s="90"/>
      <c r="Q60" s="90"/>
    </row>
    <row r="61" spans="13:17">
      <c r="M61" s="90"/>
      <c r="N61" s="90"/>
    </row>
  </sheetData>
  <mergeCells count="9">
    <mergeCell ref="K6:K7"/>
    <mergeCell ref="K3:K5"/>
    <mergeCell ref="A3:A5"/>
    <mergeCell ref="A6:A7"/>
    <mergeCell ref="B1:G1"/>
    <mergeCell ref="C6:C7"/>
    <mergeCell ref="C3:C5"/>
    <mergeCell ref="B3:B5"/>
    <mergeCell ref="B6:B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F0B-713F-4050-871D-04FC311A9A35}">
  <sheetPr>
    <tabColor rgb="FFFFFF00"/>
  </sheetPr>
  <dimension ref="B1:Y61"/>
  <sheetViews>
    <sheetView tabSelected="1" zoomScale="110" zoomScaleNormal="110" workbookViewId="0">
      <selection activeCell="F16" sqref="F16"/>
    </sheetView>
  </sheetViews>
  <sheetFormatPr defaultRowHeight="15"/>
  <cols>
    <col min="1" max="1" width="2" customWidth="1"/>
    <col min="2" max="2" width="5.5703125" customWidth="1"/>
    <col min="3" max="3" width="8.42578125" customWidth="1"/>
    <col min="4" max="4" width="11.7109375" customWidth="1"/>
    <col min="5" max="5" width="6.85546875" hidden="1" customWidth="1"/>
    <col min="6" max="7" width="33.7109375" customWidth="1"/>
    <col min="8" max="9" width="7.85546875" customWidth="1"/>
    <col min="10" max="10" width="8.140625" customWidth="1"/>
    <col min="11" max="11" width="8" bestFit="1" customWidth="1"/>
    <col min="12" max="12" width="3.42578125" customWidth="1"/>
    <col min="13" max="13" width="10.7109375" customWidth="1"/>
    <col min="14" max="14" width="34.7109375" customWidth="1"/>
    <col min="15" max="16" width="12.7109375" customWidth="1"/>
    <col min="17" max="17" width="6" customWidth="1"/>
    <col min="18" max="18" width="34.7109375" customWidth="1"/>
    <col min="19" max="19" width="28" customWidth="1"/>
    <col min="20" max="20" width="3" customWidth="1"/>
    <col min="21" max="21" width="34.7109375" customWidth="1"/>
    <col min="22" max="22" width="12.7109375" customWidth="1"/>
    <col min="23" max="23" width="3" customWidth="1"/>
    <col min="24" max="24" width="34.7109375" customWidth="1"/>
    <col min="25" max="25" width="12.7109375" customWidth="1"/>
  </cols>
  <sheetData>
    <row r="1" spans="2:25" ht="15.75" thickBot="1">
      <c r="C1" s="549" t="s">
        <v>307</v>
      </c>
      <c r="D1" s="549"/>
      <c r="E1" s="549"/>
      <c r="F1" s="549"/>
      <c r="G1" s="549"/>
    </row>
    <row r="2" spans="2:25" ht="48.75" thickBot="1">
      <c r="B2" s="22" t="s">
        <v>308</v>
      </c>
      <c r="C2" s="95" t="s">
        <v>309</v>
      </c>
      <c r="D2" s="95" t="s">
        <v>5</v>
      </c>
      <c r="E2" s="95" t="s">
        <v>310</v>
      </c>
      <c r="F2" s="95" t="s">
        <v>311</v>
      </c>
      <c r="G2" s="95" t="s">
        <v>312</v>
      </c>
      <c r="H2" s="96" t="s">
        <v>8</v>
      </c>
      <c r="I2" s="96" t="s">
        <v>9</v>
      </c>
      <c r="J2" s="96" t="s">
        <v>10</v>
      </c>
      <c r="K2">
        <f>COUNTA(F3:G36)</f>
        <v>15</v>
      </c>
      <c r="L2" s="286"/>
      <c r="M2" s="286" t="s">
        <v>313</v>
      </c>
      <c r="N2" s="323" t="s">
        <v>99</v>
      </c>
      <c r="O2" s="166" t="s">
        <v>100</v>
      </c>
      <c r="P2" s="377"/>
      <c r="Q2" s="286"/>
      <c r="R2" s="324" t="s">
        <v>101</v>
      </c>
      <c r="S2" s="166" t="s">
        <v>102</v>
      </c>
      <c r="U2" s="323" t="s">
        <v>103</v>
      </c>
      <c r="V2" s="166" t="s">
        <v>100</v>
      </c>
      <c r="W2" s="286"/>
      <c r="X2" s="324" t="s">
        <v>104</v>
      </c>
      <c r="Y2" s="166" t="s">
        <v>102</v>
      </c>
    </row>
    <row r="3" spans="2:25" ht="16.5" thickBot="1">
      <c r="B3" s="90">
        <v>1</v>
      </c>
      <c r="C3" s="547">
        <v>303</v>
      </c>
      <c r="D3" s="108">
        <v>2</v>
      </c>
      <c r="E3" s="108"/>
      <c r="F3" s="112" t="s">
        <v>314</v>
      </c>
      <c r="G3" s="112" t="s">
        <v>315</v>
      </c>
      <c r="H3" s="152">
        <f>COUNTA(F3)</f>
        <v>1</v>
      </c>
      <c r="I3" s="152">
        <f>COUNTA(F3:G3)</f>
        <v>2</v>
      </c>
      <c r="J3" s="152">
        <f t="shared" ref="J3:J15" si="0">D3-I3</f>
        <v>0</v>
      </c>
      <c r="M3" s="287"/>
      <c r="N3" s="109" t="s">
        <v>316</v>
      </c>
      <c r="O3" s="158">
        <v>46122</v>
      </c>
      <c r="P3" s="437"/>
      <c r="R3" s="109" t="s">
        <v>316</v>
      </c>
      <c r="S3" s="158">
        <v>46131</v>
      </c>
      <c r="U3" s="295"/>
      <c r="V3" s="158"/>
      <c r="X3" s="295"/>
      <c r="Y3" s="158"/>
    </row>
    <row r="4" spans="2:25" ht="16.5" thickBot="1">
      <c r="B4" s="90">
        <v>2</v>
      </c>
      <c r="C4" s="548">
        <v>305</v>
      </c>
      <c r="D4" s="108">
        <v>2</v>
      </c>
      <c r="E4" s="108"/>
      <c r="F4" s="109" t="s">
        <v>317</v>
      </c>
      <c r="G4" s="545"/>
      <c r="H4" s="152">
        <f>COUNTA(F4)</f>
        <v>1</v>
      </c>
      <c r="I4" s="152">
        <f>COUNTA(F4:G4)</f>
        <v>1</v>
      </c>
      <c r="J4" s="152">
        <f t="shared" si="0"/>
        <v>1</v>
      </c>
      <c r="M4" s="287"/>
      <c r="N4" s="112" t="s">
        <v>314</v>
      </c>
      <c r="O4" s="158">
        <v>46122</v>
      </c>
      <c r="P4" s="437"/>
      <c r="R4" s="114" t="s">
        <v>318</v>
      </c>
      <c r="S4" s="158">
        <v>46131</v>
      </c>
    </row>
    <row r="5" spans="2:25" ht="16.5" thickBot="1">
      <c r="B5" s="90">
        <v>3</v>
      </c>
      <c r="C5" s="547">
        <v>205</v>
      </c>
      <c r="D5" s="108">
        <v>2</v>
      </c>
      <c r="E5" s="108"/>
      <c r="F5" s="112" t="s">
        <v>319</v>
      </c>
      <c r="G5" s="112" t="s">
        <v>320</v>
      </c>
      <c r="H5" s="152">
        <f t="shared" ref="H5:H16" si="1">COUNTA(F5)</f>
        <v>1</v>
      </c>
      <c r="I5" s="152">
        <f t="shared" ref="I5:I15" si="2">COUNTA(F5:G5)</f>
        <v>2</v>
      </c>
      <c r="J5" s="152">
        <f t="shared" si="0"/>
        <v>0</v>
      </c>
      <c r="N5" s="112" t="s">
        <v>321</v>
      </c>
      <c r="O5" s="158">
        <v>46122</v>
      </c>
      <c r="P5" s="437"/>
      <c r="R5" s="110" t="s">
        <v>322</v>
      </c>
      <c r="S5" s="352" t="s">
        <v>323</v>
      </c>
    </row>
    <row r="6" spans="2:25" ht="16.5" thickBot="1">
      <c r="B6" s="90">
        <v>4</v>
      </c>
      <c r="C6" s="547">
        <v>134</v>
      </c>
      <c r="D6" s="108">
        <v>2</v>
      </c>
      <c r="E6" s="108"/>
      <c r="F6" s="113" t="s">
        <v>324</v>
      </c>
      <c r="G6" s="327"/>
      <c r="H6" s="152">
        <f t="shared" si="1"/>
        <v>1</v>
      </c>
      <c r="I6" s="152">
        <f t="shared" si="2"/>
        <v>1</v>
      </c>
      <c r="J6" s="152">
        <f t="shared" si="0"/>
        <v>1</v>
      </c>
      <c r="M6" s="287"/>
      <c r="N6" s="112" t="s">
        <v>319</v>
      </c>
      <c r="O6" s="158">
        <v>46122</v>
      </c>
      <c r="P6" s="437"/>
      <c r="R6" s="90"/>
      <c r="S6" s="90"/>
    </row>
    <row r="7" spans="2:25" ht="16.5" thickBot="1">
      <c r="B7" s="90">
        <v>5</v>
      </c>
      <c r="C7" s="548">
        <v>149</v>
      </c>
      <c r="D7" s="108">
        <v>2</v>
      </c>
      <c r="E7" s="108"/>
      <c r="F7" s="114" t="s">
        <v>325</v>
      </c>
      <c r="G7" s="114" t="s">
        <v>326</v>
      </c>
      <c r="H7" s="152">
        <f t="shared" si="1"/>
        <v>1</v>
      </c>
      <c r="I7" s="152">
        <f t="shared" si="2"/>
        <v>2</v>
      </c>
      <c r="J7" s="152">
        <f t="shared" si="0"/>
        <v>0</v>
      </c>
      <c r="M7" s="287"/>
      <c r="N7" s="112" t="s">
        <v>320</v>
      </c>
      <c r="O7" s="158">
        <v>46122</v>
      </c>
      <c r="P7" s="437"/>
      <c r="R7" s="110" t="s">
        <v>327</v>
      </c>
      <c r="S7" s="158">
        <v>46137</v>
      </c>
    </row>
    <row r="8" spans="2:25" ht="16.5" thickBot="1">
      <c r="B8" s="90">
        <v>6</v>
      </c>
      <c r="C8" s="547">
        <v>216</v>
      </c>
      <c r="D8" s="108">
        <v>2</v>
      </c>
      <c r="E8" s="108"/>
      <c r="F8" s="110" t="s">
        <v>328</v>
      </c>
      <c r="G8" s="110" t="s">
        <v>329</v>
      </c>
      <c r="H8" s="152">
        <f t="shared" si="1"/>
        <v>1</v>
      </c>
      <c r="I8" s="152">
        <f t="shared" si="2"/>
        <v>2</v>
      </c>
      <c r="J8" s="152">
        <f t="shared" si="0"/>
        <v>0</v>
      </c>
      <c r="N8" s="110" t="s">
        <v>330</v>
      </c>
      <c r="O8" s="158">
        <v>46122</v>
      </c>
      <c r="P8" s="437"/>
      <c r="R8" s="110" t="s">
        <v>331</v>
      </c>
      <c r="S8" s="158">
        <v>46128</v>
      </c>
    </row>
    <row r="9" spans="2:25" ht="16.5" thickBot="1">
      <c r="B9" s="90">
        <v>7</v>
      </c>
      <c r="C9" s="547">
        <v>215</v>
      </c>
      <c r="D9" s="108">
        <v>2</v>
      </c>
      <c r="E9" s="108"/>
      <c r="F9" s="110" t="s">
        <v>332</v>
      </c>
      <c r="G9" s="546"/>
      <c r="H9" s="152">
        <f t="shared" si="1"/>
        <v>1</v>
      </c>
      <c r="I9" s="152">
        <f t="shared" si="2"/>
        <v>1</v>
      </c>
      <c r="J9" s="152">
        <f t="shared" si="0"/>
        <v>1</v>
      </c>
      <c r="M9" s="289"/>
      <c r="N9" s="110" t="s">
        <v>333</v>
      </c>
      <c r="O9" s="158">
        <v>46122</v>
      </c>
      <c r="P9" s="437"/>
      <c r="R9" s="110" t="s">
        <v>334</v>
      </c>
      <c r="S9" s="158">
        <v>46128</v>
      </c>
    </row>
    <row r="10" spans="2:25" ht="16.5" thickBot="1">
      <c r="B10" s="90">
        <v>8</v>
      </c>
      <c r="C10" s="547">
        <v>247</v>
      </c>
      <c r="D10" s="108">
        <v>2</v>
      </c>
      <c r="E10" s="108"/>
      <c r="F10" s="110" t="s">
        <v>330</v>
      </c>
      <c r="G10" s="110" t="s">
        <v>333</v>
      </c>
      <c r="H10" s="152">
        <f t="shared" si="1"/>
        <v>1</v>
      </c>
      <c r="I10" s="152">
        <f t="shared" si="2"/>
        <v>2</v>
      </c>
      <c r="J10" s="152">
        <f t="shared" si="0"/>
        <v>0</v>
      </c>
      <c r="M10" s="289"/>
      <c r="N10" s="112" t="s">
        <v>335</v>
      </c>
      <c r="O10" s="158">
        <v>46123</v>
      </c>
      <c r="P10" s="437"/>
      <c r="R10" s="112" t="s">
        <v>321</v>
      </c>
      <c r="S10" s="158">
        <v>46138</v>
      </c>
    </row>
    <row r="11" spans="2:25" ht="16.5" thickBot="1">
      <c r="B11" s="90">
        <v>9</v>
      </c>
      <c r="C11" s="547">
        <v>122</v>
      </c>
      <c r="D11" s="108">
        <v>2</v>
      </c>
      <c r="E11" s="108"/>
      <c r="F11" s="110" t="s">
        <v>336</v>
      </c>
      <c r="G11" s="110" t="s">
        <v>337</v>
      </c>
      <c r="H11" s="152">
        <f t="shared" si="1"/>
        <v>1</v>
      </c>
      <c r="I11" s="152">
        <f t="shared" si="2"/>
        <v>2</v>
      </c>
      <c r="J11" s="152">
        <f t="shared" si="0"/>
        <v>0</v>
      </c>
      <c r="N11" s="112" t="s">
        <v>338</v>
      </c>
      <c r="O11" s="158">
        <v>46123</v>
      </c>
      <c r="P11" s="437"/>
      <c r="R11" s="124"/>
      <c r="S11" s="90"/>
    </row>
    <row r="12" spans="2:25" ht="16.5" thickBot="1">
      <c r="B12" s="124">
        <v>10</v>
      </c>
      <c r="C12" s="548">
        <v>232</v>
      </c>
      <c r="D12" s="108">
        <v>2</v>
      </c>
      <c r="E12" s="108"/>
      <c r="F12" s="546"/>
      <c r="G12" s="546"/>
      <c r="H12" s="152">
        <f t="shared" si="1"/>
        <v>0</v>
      </c>
      <c r="I12" s="152">
        <f t="shared" si="2"/>
        <v>0</v>
      </c>
      <c r="J12" s="152">
        <f t="shared" si="0"/>
        <v>2</v>
      </c>
      <c r="M12" s="287"/>
      <c r="N12" s="110" t="s">
        <v>329</v>
      </c>
      <c r="O12" s="158">
        <v>46123</v>
      </c>
      <c r="P12" s="437"/>
      <c r="R12" s="110" t="s">
        <v>339</v>
      </c>
      <c r="S12" s="90"/>
    </row>
    <row r="13" spans="2:25" ht="16.5" thickBot="1">
      <c r="B13" s="90"/>
      <c r="C13" s="541"/>
      <c r="D13" s="542"/>
      <c r="E13" s="542"/>
      <c r="F13" s="543"/>
      <c r="G13" s="543"/>
      <c r="H13" s="544"/>
      <c r="I13" s="544"/>
      <c r="J13" s="544"/>
      <c r="M13" s="287"/>
      <c r="N13" s="110" t="s">
        <v>328</v>
      </c>
      <c r="O13" s="158">
        <v>46123</v>
      </c>
      <c r="P13" s="437"/>
      <c r="Q13">
        <v>242</v>
      </c>
      <c r="R13" s="110" t="s">
        <v>340</v>
      </c>
      <c r="S13" s="90"/>
    </row>
    <row r="14" spans="2:25" ht="16.5" thickBot="1">
      <c r="B14" s="90">
        <v>11</v>
      </c>
      <c r="C14" s="107">
        <v>113</v>
      </c>
      <c r="D14" s="108"/>
      <c r="E14" s="108"/>
      <c r="F14" s="298"/>
      <c r="G14" s="298"/>
      <c r="H14" s="152">
        <f t="shared" si="1"/>
        <v>0</v>
      </c>
      <c r="I14" s="152">
        <f t="shared" si="2"/>
        <v>0</v>
      </c>
      <c r="J14" s="152">
        <f t="shared" si="0"/>
        <v>0</v>
      </c>
      <c r="N14" s="110" t="s">
        <v>341</v>
      </c>
      <c r="O14" s="158">
        <v>46123</v>
      </c>
      <c r="P14" s="437"/>
      <c r="R14" s="124"/>
      <c r="S14" s="90"/>
    </row>
    <row r="15" spans="2:25" ht="16.5" thickBot="1">
      <c r="B15" s="90">
        <v>12</v>
      </c>
      <c r="C15" s="107">
        <v>236</v>
      </c>
      <c r="D15" s="108"/>
      <c r="E15" s="108"/>
      <c r="F15" s="298"/>
      <c r="G15" s="298"/>
      <c r="H15" s="152">
        <f t="shared" si="1"/>
        <v>0</v>
      </c>
      <c r="I15" s="152">
        <f t="shared" si="2"/>
        <v>0</v>
      </c>
      <c r="J15" s="152">
        <f t="shared" si="0"/>
        <v>0</v>
      </c>
      <c r="M15" s="289"/>
      <c r="N15" s="110" t="s">
        <v>339</v>
      </c>
      <c r="O15" s="158">
        <v>46123</v>
      </c>
      <c r="P15" s="437"/>
      <c r="Q15">
        <v>305</v>
      </c>
      <c r="R15" s="112" t="s">
        <v>342</v>
      </c>
      <c r="S15" s="90"/>
    </row>
    <row r="16" spans="2:25" ht="16.5" thickBot="1">
      <c r="B16" s="90">
        <v>13</v>
      </c>
      <c r="C16" s="107">
        <v>248</v>
      </c>
      <c r="D16" s="108"/>
      <c r="E16" s="108"/>
      <c r="F16" s="298"/>
      <c r="G16" s="298"/>
      <c r="H16" s="152">
        <f t="shared" si="1"/>
        <v>0</v>
      </c>
      <c r="I16" s="152">
        <f>COUNTA(F16:G16)</f>
        <v>0</v>
      </c>
      <c r="J16" s="152">
        <f>D16-I16</f>
        <v>0</v>
      </c>
      <c r="M16" s="288"/>
      <c r="N16" s="110" t="s">
        <v>327</v>
      </c>
      <c r="O16" s="158">
        <v>46123</v>
      </c>
      <c r="P16" s="437"/>
      <c r="Q16">
        <v>248</v>
      </c>
      <c r="R16" s="112" t="s">
        <v>335</v>
      </c>
      <c r="S16" s="158"/>
    </row>
    <row r="17" spans="2:19" ht="16.5" thickBot="1">
      <c r="B17" s="90">
        <v>14</v>
      </c>
      <c r="C17" s="108"/>
      <c r="D17" s="108"/>
      <c r="E17" s="108"/>
      <c r="F17" s="90"/>
      <c r="G17" s="90"/>
      <c r="H17" s="152">
        <f>COUNTA(F17)</f>
        <v>0</v>
      </c>
      <c r="I17" s="152">
        <f t="shared" ref="I17:I36" si="3">COUNTA(F17:G17)</f>
        <v>0</v>
      </c>
      <c r="J17" s="152">
        <f t="shared" ref="J17:J36" si="4">D17-I17</f>
        <v>0</v>
      </c>
      <c r="N17" s="110" t="s">
        <v>340</v>
      </c>
      <c r="O17" s="158">
        <v>46123</v>
      </c>
      <c r="P17" s="437"/>
      <c r="Q17">
        <v>248</v>
      </c>
      <c r="R17" s="112" t="s">
        <v>338</v>
      </c>
      <c r="S17" s="90"/>
    </row>
    <row r="18" spans="2:19" ht="16.5" thickBot="1">
      <c r="B18" s="90">
        <v>15</v>
      </c>
      <c r="C18" s="107"/>
      <c r="D18" s="108"/>
      <c r="E18" s="108"/>
      <c r="F18" s="295"/>
      <c r="G18" s="90"/>
      <c r="H18" s="152">
        <f t="shared" ref="H18:H36" si="5">COUNTA(F18)</f>
        <v>0</v>
      </c>
      <c r="I18" s="152">
        <f t="shared" si="3"/>
        <v>0</v>
      </c>
      <c r="J18" s="152">
        <f t="shared" si="4"/>
        <v>0</v>
      </c>
      <c r="N18" s="110" t="s">
        <v>332</v>
      </c>
      <c r="O18" s="158">
        <v>46123</v>
      </c>
      <c r="P18" s="437"/>
      <c r="R18" s="124"/>
      <c r="S18" s="90"/>
    </row>
    <row r="19" spans="2:19" ht="16.5" thickBot="1">
      <c r="B19" s="90">
        <v>16</v>
      </c>
      <c r="C19" s="107"/>
      <c r="D19" s="108"/>
      <c r="E19" s="108"/>
      <c r="F19" s="296"/>
      <c r="G19" s="296"/>
      <c r="H19" s="152">
        <f t="shared" si="5"/>
        <v>0</v>
      </c>
      <c r="I19" s="152">
        <f t="shared" si="3"/>
        <v>0</v>
      </c>
      <c r="J19" s="152">
        <f t="shared" si="4"/>
        <v>0</v>
      </c>
      <c r="N19" s="111" t="s">
        <v>343</v>
      </c>
      <c r="O19" s="158">
        <v>46123</v>
      </c>
      <c r="P19" s="437"/>
      <c r="Q19">
        <v>306</v>
      </c>
      <c r="R19" s="112" t="s">
        <v>344</v>
      </c>
      <c r="S19" s="90"/>
    </row>
    <row r="20" spans="2:19" ht="16.5" thickBot="1">
      <c r="B20" s="90">
        <v>17</v>
      </c>
      <c r="C20" s="108"/>
      <c r="D20" s="108"/>
      <c r="E20" s="108"/>
      <c r="F20" s="296"/>
      <c r="G20" s="296"/>
      <c r="H20" s="152">
        <f t="shared" si="5"/>
        <v>0</v>
      </c>
      <c r="I20" s="152">
        <f t="shared" si="3"/>
        <v>0</v>
      </c>
      <c r="J20" s="152">
        <f t="shared" si="4"/>
        <v>0</v>
      </c>
      <c r="N20" s="114" t="s">
        <v>318</v>
      </c>
      <c r="O20" s="158">
        <v>46123</v>
      </c>
      <c r="P20" s="437"/>
      <c r="Q20">
        <v>306</v>
      </c>
      <c r="R20" s="112" t="s">
        <v>345</v>
      </c>
      <c r="S20" s="90"/>
    </row>
    <row r="21" spans="2:19" ht="16.5" thickBot="1">
      <c r="B21" s="90">
        <v>18</v>
      </c>
      <c r="C21" s="108"/>
      <c r="D21" s="108"/>
      <c r="E21" s="108"/>
      <c r="F21" s="537"/>
      <c r="G21" s="538"/>
      <c r="H21" s="152">
        <f t="shared" si="5"/>
        <v>0</v>
      </c>
      <c r="I21" s="152">
        <f t="shared" si="3"/>
        <v>0</v>
      </c>
      <c r="J21" s="152">
        <f t="shared" si="4"/>
        <v>0</v>
      </c>
      <c r="N21" s="114" t="s">
        <v>325</v>
      </c>
      <c r="O21" s="158">
        <v>46123</v>
      </c>
      <c r="P21" s="437"/>
      <c r="Q21">
        <v>113</v>
      </c>
      <c r="R21" s="112" t="s">
        <v>346</v>
      </c>
      <c r="S21" s="90"/>
    </row>
    <row r="22" spans="2:19" ht="16.5" thickBot="1">
      <c r="B22" s="90">
        <v>19</v>
      </c>
      <c r="C22" s="107"/>
      <c r="D22" s="108"/>
      <c r="E22" s="108"/>
      <c r="F22" s="296"/>
      <c r="G22" s="296"/>
      <c r="H22" s="152">
        <f t="shared" si="5"/>
        <v>0</v>
      </c>
      <c r="I22" s="152">
        <f t="shared" si="3"/>
        <v>0</v>
      </c>
      <c r="J22" s="152">
        <f t="shared" si="4"/>
        <v>0</v>
      </c>
      <c r="N22" s="114" t="s">
        <v>326</v>
      </c>
      <c r="O22" s="158">
        <v>46123</v>
      </c>
      <c r="P22" s="437"/>
      <c r="R22" s="298"/>
      <c r="S22" s="158"/>
    </row>
    <row r="23" spans="2:19" ht="16.5" thickBot="1">
      <c r="B23" s="90">
        <v>20</v>
      </c>
      <c r="C23" s="107"/>
      <c r="D23" s="108"/>
      <c r="E23" s="108"/>
      <c r="F23" s="297"/>
      <c r="G23" s="539"/>
      <c r="H23" s="152">
        <f t="shared" si="5"/>
        <v>0</v>
      </c>
      <c r="I23" s="152">
        <f t="shared" si="3"/>
        <v>0</v>
      </c>
      <c r="J23" s="152">
        <f t="shared" si="4"/>
        <v>0</v>
      </c>
      <c r="N23" s="112" t="s">
        <v>342</v>
      </c>
      <c r="O23" s="158">
        <v>46123</v>
      </c>
      <c r="P23" s="437"/>
      <c r="Q23">
        <v>215</v>
      </c>
      <c r="R23" s="110" t="s">
        <v>332</v>
      </c>
      <c r="S23" s="158">
        <v>46146</v>
      </c>
    </row>
    <row r="24" spans="2:19" ht="16.5" thickBot="1">
      <c r="B24" s="90">
        <v>21</v>
      </c>
      <c r="C24" s="107"/>
      <c r="D24" s="108"/>
      <c r="E24" s="108"/>
      <c r="F24" s="331"/>
      <c r="G24" s="298"/>
      <c r="H24" s="152">
        <f t="shared" si="5"/>
        <v>0</v>
      </c>
      <c r="I24" s="152">
        <f t="shared" si="3"/>
        <v>0</v>
      </c>
      <c r="J24" s="152">
        <f t="shared" si="4"/>
        <v>0</v>
      </c>
      <c r="N24" s="109" t="s">
        <v>317</v>
      </c>
      <c r="O24" s="158">
        <v>46123</v>
      </c>
      <c r="P24" s="437"/>
      <c r="R24" s="124"/>
      <c r="S24" s="90"/>
    </row>
    <row r="25" spans="2:19" ht="16.5" thickBot="1">
      <c r="B25" s="90">
        <v>22</v>
      </c>
      <c r="C25" s="107"/>
      <c r="D25" s="108"/>
      <c r="E25" s="108"/>
      <c r="F25" s="298"/>
      <c r="G25" s="298"/>
      <c r="H25" s="152">
        <f t="shared" si="5"/>
        <v>0</v>
      </c>
      <c r="I25" s="152">
        <f t="shared" si="3"/>
        <v>0</v>
      </c>
      <c r="J25" s="152">
        <f t="shared" si="4"/>
        <v>0</v>
      </c>
      <c r="N25" s="110" t="s">
        <v>322</v>
      </c>
      <c r="O25" s="158">
        <v>46124</v>
      </c>
      <c r="P25" s="437"/>
      <c r="R25" s="298"/>
      <c r="S25" s="158"/>
    </row>
    <row r="26" spans="2:19" ht="16.5" thickBot="1">
      <c r="B26" s="90">
        <v>23</v>
      </c>
      <c r="C26" s="108"/>
      <c r="D26" s="108"/>
      <c r="E26" s="108"/>
      <c r="F26" s="540"/>
      <c r="G26" s="540"/>
      <c r="H26" s="152">
        <f t="shared" si="5"/>
        <v>0</v>
      </c>
      <c r="I26" s="152">
        <f t="shared" si="3"/>
        <v>0</v>
      </c>
      <c r="J26" s="152">
        <f t="shared" si="4"/>
        <v>0</v>
      </c>
      <c r="N26" s="113" t="s">
        <v>324</v>
      </c>
      <c r="O26" s="158">
        <v>46124</v>
      </c>
      <c r="P26" s="437"/>
      <c r="R26" s="124"/>
      <c r="S26" s="90"/>
    </row>
    <row r="27" spans="2:19" ht="16.5" thickBot="1">
      <c r="B27" s="90">
        <v>24</v>
      </c>
      <c r="C27" s="108"/>
      <c r="D27" s="108"/>
      <c r="E27" s="108"/>
      <c r="F27" s="298"/>
      <c r="G27" s="298"/>
      <c r="H27" s="152">
        <f t="shared" si="5"/>
        <v>0</v>
      </c>
      <c r="I27" s="152">
        <f t="shared" si="3"/>
        <v>0</v>
      </c>
      <c r="J27" s="152">
        <f t="shared" si="4"/>
        <v>0</v>
      </c>
      <c r="N27" s="110" t="s">
        <v>334</v>
      </c>
      <c r="O27" s="158">
        <v>46128</v>
      </c>
      <c r="P27" s="437"/>
      <c r="R27" s="124"/>
      <c r="S27" s="90"/>
    </row>
    <row r="28" spans="2:19" ht="16.5" thickBot="1">
      <c r="B28" s="90">
        <v>25</v>
      </c>
      <c r="C28" s="107"/>
      <c r="D28" s="108"/>
      <c r="E28" s="108"/>
      <c r="F28" s="298"/>
      <c r="G28" s="298"/>
      <c r="H28" s="152">
        <f t="shared" si="5"/>
        <v>0</v>
      </c>
      <c r="I28" s="152">
        <f t="shared" si="3"/>
        <v>0</v>
      </c>
      <c r="J28" s="152">
        <f t="shared" si="4"/>
        <v>0</v>
      </c>
      <c r="N28" s="110" t="s">
        <v>331</v>
      </c>
      <c r="O28" s="158">
        <v>46128</v>
      </c>
      <c r="P28" s="437"/>
      <c r="R28" s="124"/>
      <c r="S28" s="90"/>
    </row>
    <row r="29" spans="2:19" ht="16.5" thickBot="1">
      <c r="B29" s="90">
        <v>26</v>
      </c>
      <c r="C29" s="107"/>
      <c r="D29" s="108"/>
      <c r="E29" s="108"/>
      <c r="F29" s="298"/>
      <c r="G29" s="298"/>
      <c r="H29" s="152">
        <f t="shared" si="5"/>
        <v>0</v>
      </c>
      <c r="I29" s="152">
        <f t="shared" si="3"/>
        <v>0</v>
      </c>
      <c r="J29" s="152">
        <f t="shared" si="4"/>
        <v>0</v>
      </c>
      <c r="R29" s="124"/>
      <c r="S29" s="90"/>
    </row>
    <row r="30" spans="2:19" ht="16.5" thickBot="1">
      <c r="B30" s="90">
        <v>27</v>
      </c>
      <c r="C30" s="107"/>
      <c r="D30" s="108"/>
      <c r="E30" s="108"/>
      <c r="F30" s="298"/>
      <c r="G30" s="298"/>
      <c r="H30" s="152">
        <f t="shared" si="5"/>
        <v>0</v>
      </c>
      <c r="I30" s="152">
        <f t="shared" si="3"/>
        <v>0</v>
      </c>
      <c r="J30" s="152">
        <f t="shared" si="4"/>
        <v>0</v>
      </c>
      <c r="N30" s="110" t="s">
        <v>347</v>
      </c>
      <c r="O30" s="158">
        <v>46136</v>
      </c>
      <c r="P30" s="437"/>
      <c r="R30" s="124"/>
      <c r="S30" s="90"/>
    </row>
    <row r="31" spans="2:19" ht="16.5" thickBot="1">
      <c r="B31" s="90">
        <v>28</v>
      </c>
      <c r="C31" s="107"/>
      <c r="D31" s="108"/>
      <c r="E31" s="108"/>
      <c r="F31" s="298"/>
      <c r="G31" s="298"/>
      <c r="H31" s="152">
        <f t="shared" si="5"/>
        <v>0</v>
      </c>
      <c r="I31" s="152">
        <f t="shared" si="3"/>
        <v>0</v>
      </c>
      <c r="J31" s="152">
        <f t="shared" si="4"/>
        <v>0</v>
      </c>
      <c r="N31" s="110" t="s">
        <v>348</v>
      </c>
      <c r="O31" s="158">
        <v>46136</v>
      </c>
      <c r="P31" s="437"/>
      <c r="R31" s="298"/>
      <c r="S31" s="158"/>
    </row>
    <row r="32" spans="2:19" ht="16.5" thickBot="1">
      <c r="B32" s="90">
        <v>29</v>
      </c>
      <c r="C32" s="107"/>
      <c r="D32" s="108"/>
      <c r="E32" s="108"/>
      <c r="F32" s="90"/>
      <c r="G32" s="90"/>
      <c r="H32" s="152">
        <f t="shared" si="5"/>
        <v>0</v>
      </c>
      <c r="I32" s="152">
        <f t="shared" si="3"/>
        <v>0</v>
      </c>
      <c r="J32" s="152">
        <f t="shared" si="4"/>
        <v>0</v>
      </c>
      <c r="N32" s="90"/>
      <c r="O32" s="90"/>
      <c r="R32" s="124"/>
      <c r="S32" s="90"/>
    </row>
    <row r="33" spans="2:19" ht="16.5" thickBot="1">
      <c r="B33" s="90">
        <v>30</v>
      </c>
      <c r="C33" s="107"/>
      <c r="D33" s="108"/>
      <c r="E33" s="108"/>
      <c r="F33" s="90"/>
      <c r="G33" s="90"/>
      <c r="H33" s="152">
        <f t="shared" si="5"/>
        <v>0</v>
      </c>
      <c r="I33" s="152">
        <f t="shared" si="3"/>
        <v>0</v>
      </c>
      <c r="J33" s="152">
        <f t="shared" si="4"/>
        <v>0</v>
      </c>
      <c r="N33" s="90"/>
      <c r="O33" s="90"/>
      <c r="R33" s="124"/>
      <c r="S33" s="90"/>
    </row>
    <row r="34" spans="2:19" ht="16.5" thickBot="1">
      <c r="B34" s="90">
        <v>31</v>
      </c>
      <c r="C34" s="107"/>
      <c r="D34" s="108"/>
      <c r="E34" s="108"/>
      <c r="F34" s="90"/>
      <c r="G34" s="90"/>
      <c r="H34" s="152">
        <f t="shared" si="5"/>
        <v>0</v>
      </c>
      <c r="I34" s="152">
        <f t="shared" si="3"/>
        <v>0</v>
      </c>
      <c r="J34" s="152">
        <f t="shared" si="4"/>
        <v>0</v>
      </c>
      <c r="N34" s="90"/>
      <c r="O34" s="90"/>
      <c r="R34" s="124"/>
      <c r="S34" s="90"/>
    </row>
    <row r="35" spans="2:19" ht="16.5" thickBot="1">
      <c r="B35" s="90">
        <v>32</v>
      </c>
      <c r="C35" s="107"/>
      <c r="D35" s="108"/>
      <c r="E35" s="108"/>
      <c r="F35" s="90"/>
      <c r="G35" s="90"/>
      <c r="H35" s="152">
        <f t="shared" si="5"/>
        <v>0</v>
      </c>
      <c r="I35" s="152">
        <f t="shared" si="3"/>
        <v>0</v>
      </c>
      <c r="J35" s="152">
        <f t="shared" si="4"/>
        <v>0</v>
      </c>
      <c r="N35" s="90"/>
      <c r="O35" s="90"/>
      <c r="R35" s="124"/>
      <c r="S35" s="90"/>
    </row>
    <row r="36" spans="2:19" ht="16.5" thickBot="1">
      <c r="B36" s="90">
        <v>33</v>
      </c>
      <c r="C36" s="107"/>
      <c r="D36" s="108"/>
      <c r="E36" s="108"/>
      <c r="F36" s="90"/>
      <c r="G36" s="90"/>
      <c r="H36" s="152">
        <f t="shared" si="5"/>
        <v>0</v>
      </c>
      <c r="I36" s="152">
        <f t="shared" si="3"/>
        <v>0</v>
      </c>
      <c r="J36" s="152">
        <f t="shared" si="4"/>
        <v>0</v>
      </c>
      <c r="N36" s="90"/>
      <c r="O36" s="90"/>
      <c r="R36" s="124"/>
      <c r="S36" s="90"/>
    </row>
    <row r="37" spans="2:19" ht="16.5" thickBot="1">
      <c r="H37" s="153">
        <f>SUM(H3:H36)</f>
        <v>9</v>
      </c>
      <c r="I37" s="153">
        <f>SUM(I3:I36)</f>
        <v>15</v>
      </c>
      <c r="J37" s="153">
        <f>SUM(J3:J36)</f>
        <v>5</v>
      </c>
      <c r="M37" s="290"/>
      <c r="N37" s="90"/>
      <c r="O37" s="90"/>
      <c r="R37" s="298"/>
      <c r="S37" s="158"/>
    </row>
    <row r="38" spans="2:19" ht="23.25" customHeight="1" thickBot="1">
      <c r="H38" s="326" t="s">
        <v>8</v>
      </c>
      <c r="I38" s="325" t="s">
        <v>9</v>
      </c>
      <c r="J38" s="325" t="s">
        <v>10</v>
      </c>
      <c r="N38" s="90"/>
      <c r="O38" s="90"/>
      <c r="R38" s="90"/>
      <c r="S38" s="90"/>
    </row>
    <row r="39" spans="2:19">
      <c r="N39" s="90"/>
      <c r="O39" s="90"/>
      <c r="R39" s="90"/>
      <c r="S39" s="90"/>
    </row>
    <row r="40" spans="2:19" ht="15.75">
      <c r="C40" s="107">
        <v>122</v>
      </c>
      <c r="D40" s="108">
        <v>2</v>
      </c>
      <c r="E40" s="108"/>
      <c r="F40" s="354"/>
      <c r="G40" s="355"/>
      <c r="N40" s="90"/>
      <c r="O40" s="90"/>
      <c r="R40" s="90"/>
      <c r="S40" s="90"/>
    </row>
    <row r="41" spans="2:19" ht="15.75">
      <c r="C41" s="107">
        <v>303</v>
      </c>
      <c r="D41" s="108">
        <v>2</v>
      </c>
      <c r="E41" s="108"/>
      <c r="F41" s="112" t="s">
        <v>314</v>
      </c>
      <c r="G41" s="112"/>
      <c r="N41" s="90"/>
      <c r="O41" s="90"/>
      <c r="R41" s="90"/>
      <c r="S41" s="90"/>
    </row>
    <row r="42" spans="2:19" ht="15.75">
      <c r="C42" s="108">
        <v>248</v>
      </c>
      <c r="D42" s="108">
        <v>2</v>
      </c>
      <c r="E42" s="108"/>
      <c r="F42" s="112"/>
      <c r="G42" s="112"/>
      <c r="N42" s="90"/>
      <c r="O42" s="90"/>
      <c r="R42" s="90"/>
      <c r="S42" s="90"/>
    </row>
    <row r="43" spans="2:19" ht="15.75">
      <c r="C43" s="108">
        <v>305</v>
      </c>
      <c r="D43" s="108">
        <v>2</v>
      </c>
      <c r="E43" s="108"/>
      <c r="F43" s="291"/>
      <c r="G43" s="293" t="s">
        <v>317</v>
      </c>
      <c r="N43" s="90"/>
      <c r="O43" s="90"/>
      <c r="R43" s="90"/>
      <c r="S43" s="90"/>
    </row>
    <row r="44" spans="2:19" ht="15.75">
      <c r="C44" s="107">
        <v>205</v>
      </c>
      <c r="D44" s="108">
        <v>2</v>
      </c>
      <c r="E44" s="108"/>
      <c r="F44" s="112" t="s">
        <v>319</v>
      </c>
      <c r="G44" s="112" t="s">
        <v>320</v>
      </c>
      <c r="N44" s="90"/>
      <c r="O44" s="90"/>
      <c r="R44" s="90"/>
      <c r="S44" s="90"/>
    </row>
    <row r="45" spans="2:19" ht="15.75">
      <c r="C45" s="107">
        <v>134</v>
      </c>
      <c r="D45" s="108">
        <v>2</v>
      </c>
      <c r="E45" s="108"/>
      <c r="F45" s="113" t="s">
        <v>324</v>
      </c>
      <c r="G45" s="327"/>
      <c r="N45" s="90"/>
      <c r="O45" s="90"/>
      <c r="R45" s="90"/>
      <c r="S45" s="90"/>
    </row>
    <row r="46" spans="2:19" ht="15.75">
      <c r="C46" s="107">
        <v>232</v>
      </c>
      <c r="D46" s="108">
        <v>2</v>
      </c>
      <c r="E46" s="108"/>
      <c r="F46" s="111" t="s">
        <v>343</v>
      </c>
      <c r="G46" s="110"/>
      <c r="N46" s="90"/>
      <c r="O46" s="90"/>
      <c r="R46" s="90"/>
      <c r="S46" s="90"/>
    </row>
    <row r="47" spans="2:19" ht="15.75">
      <c r="C47" s="107">
        <v>236</v>
      </c>
      <c r="D47" s="108">
        <v>2</v>
      </c>
      <c r="E47" s="108"/>
      <c r="F47" s="110"/>
      <c r="G47" s="110"/>
      <c r="N47" s="90"/>
      <c r="O47" s="90"/>
      <c r="R47" s="90"/>
      <c r="S47" s="90"/>
    </row>
    <row r="48" spans="2:19" ht="15.75">
      <c r="C48" s="108">
        <v>149</v>
      </c>
      <c r="D48" s="108">
        <v>2</v>
      </c>
      <c r="E48" s="108"/>
      <c r="F48" s="294" t="s">
        <v>325</v>
      </c>
      <c r="G48" s="294" t="s">
        <v>326</v>
      </c>
      <c r="N48" s="90"/>
      <c r="O48" s="90"/>
      <c r="R48" s="90"/>
      <c r="S48" s="90"/>
    </row>
    <row r="49" spans="3:19" ht="15.75">
      <c r="C49" s="108">
        <v>242</v>
      </c>
      <c r="D49" s="108">
        <v>2</v>
      </c>
      <c r="E49" s="108"/>
      <c r="F49" s="110"/>
      <c r="G49" s="110"/>
      <c r="N49" s="90"/>
      <c r="O49" s="90"/>
      <c r="R49" s="90"/>
      <c r="S49" s="90"/>
    </row>
    <row r="50" spans="3:19" ht="15.75">
      <c r="C50" s="107">
        <v>216</v>
      </c>
      <c r="D50" s="108">
        <v>2</v>
      </c>
      <c r="E50" s="108"/>
      <c r="F50" s="110" t="s">
        <v>328</v>
      </c>
      <c r="G50" s="110" t="s">
        <v>329</v>
      </c>
      <c r="N50" s="90"/>
      <c r="O50" s="90"/>
      <c r="R50" s="90"/>
      <c r="S50" s="90"/>
    </row>
    <row r="51" spans="3:19" ht="15.75">
      <c r="C51" s="107">
        <v>215</v>
      </c>
      <c r="D51" s="108">
        <v>2</v>
      </c>
      <c r="E51" s="108"/>
      <c r="F51" s="110"/>
      <c r="G51" s="110" t="s">
        <v>332</v>
      </c>
      <c r="N51" s="90"/>
      <c r="O51" s="90"/>
      <c r="R51" s="90"/>
      <c r="S51" s="90"/>
    </row>
    <row r="52" spans="3:19" ht="15.75">
      <c r="C52" s="107">
        <v>247</v>
      </c>
      <c r="D52" s="108">
        <v>2</v>
      </c>
      <c r="E52" s="108"/>
      <c r="F52" s="110" t="s">
        <v>330</v>
      </c>
      <c r="G52" s="110" t="s">
        <v>333</v>
      </c>
      <c r="N52" s="90"/>
      <c r="O52" s="90"/>
      <c r="R52" s="90"/>
      <c r="S52" s="90"/>
    </row>
    <row r="53" spans="3:19" ht="15.75">
      <c r="C53" s="107">
        <v>113</v>
      </c>
      <c r="D53" s="108">
        <v>2</v>
      </c>
      <c r="E53" s="108"/>
      <c r="F53" s="353"/>
      <c r="G53" s="353"/>
      <c r="N53" s="90"/>
      <c r="O53" s="90"/>
      <c r="R53" s="90"/>
      <c r="S53" s="90"/>
    </row>
    <row r="54" spans="3:19">
      <c r="G54" t="s">
        <v>349</v>
      </c>
      <c r="N54" s="90"/>
      <c r="O54" s="90"/>
      <c r="R54" s="90"/>
      <c r="S54" s="90"/>
    </row>
    <row r="55" spans="3:19">
      <c r="G55" t="s">
        <v>350</v>
      </c>
      <c r="N55" s="90"/>
      <c r="O55" s="90"/>
      <c r="R55" s="90"/>
      <c r="S55" s="90"/>
    </row>
    <row r="56" spans="3:19">
      <c r="N56" s="90"/>
      <c r="O56" s="90"/>
      <c r="R56" s="90"/>
      <c r="S56" s="90"/>
    </row>
    <row r="57" spans="3:19">
      <c r="G57" t="s">
        <v>351</v>
      </c>
      <c r="N57" s="90"/>
      <c r="O57" s="90"/>
      <c r="R57" s="90"/>
      <c r="S57" s="90"/>
    </row>
    <row r="58" spans="3:19">
      <c r="G58" t="s">
        <v>352</v>
      </c>
      <c r="N58" s="90"/>
      <c r="O58" s="90"/>
      <c r="R58" s="90"/>
      <c r="S58" s="90"/>
    </row>
    <row r="59" spans="3:19">
      <c r="G59" t="s">
        <v>353</v>
      </c>
      <c r="N59" s="90"/>
      <c r="O59" s="90"/>
      <c r="R59" s="90"/>
      <c r="S59" s="90"/>
    </row>
    <row r="60" spans="3:19">
      <c r="G60" t="s">
        <v>354</v>
      </c>
      <c r="N60" s="90"/>
      <c r="O60" s="90"/>
      <c r="R60" s="90"/>
      <c r="S60" s="90"/>
    </row>
    <row r="61" spans="3:19">
      <c r="N61" s="90"/>
      <c r="O61" s="90"/>
    </row>
  </sheetData>
  <mergeCells count="1">
    <mergeCell ref="C1:G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E523-7C09-48FB-9C7C-2602B07862F7}">
  <sheetPr>
    <tabColor rgb="FFFFFF00"/>
  </sheetPr>
  <dimension ref="A1:R61"/>
  <sheetViews>
    <sheetView zoomScale="140" zoomScaleNormal="140" workbookViewId="0">
      <selection activeCell="I16" sqref="I16"/>
    </sheetView>
  </sheetViews>
  <sheetFormatPr defaultRowHeight="15"/>
  <cols>
    <col min="1" max="1" width="16.140625" customWidth="1"/>
    <col min="2" max="2" width="5.42578125" bestFit="1" customWidth="1"/>
    <col min="3" max="3" width="6" customWidth="1"/>
    <col min="4" max="4" width="17.85546875" customWidth="1"/>
    <col min="5" max="5" width="18.7109375" bestFit="1" customWidth="1"/>
    <col min="6" max="6" width="18.85546875" customWidth="1"/>
    <col min="7" max="7" width="18.7109375" bestFit="1" customWidth="1"/>
    <col min="8" max="8" width="15.5703125" bestFit="1" customWidth="1"/>
    <col min="9" max="9" width="21" bestFit="1" customWidth="1"/>
    <col min="14" max="14" width="34.7109375" hidden="1" customWidth="1"/>
    <col min="15" max="15" width="12.7109375" hidden="1" customWidth="1"/>
    <col min="16" max="16" width="3.28515625" customWidth="1"/>
    <col min="17" max="17" width="25.85546875" bestFit="1" customWidth="1"/>
    <col min="18" max="18" width="12.7109375" customWidth="1"/>
  </cols>
  <sheetData>
    <row r="1" spans="1:18" ht="15.75" thickBot="1"/>
    <row r="2" spans="1:18" ht="36">
      <c r="B2" s="90" t="s">
        <v>67</v>
      </c>
      <c r="C2" s="348" t="s">
        <v>355</v>
      </c>
      <c r="D2" s="90" t="s">
        <v>356</v>
      </c>
      <c r="E2" s="90" t="s">
        <v>357</v>
      </c>
      <c r="F2" s="90" t="s">
        <v>358</v>
      </c>
      <c r="G2" s="90" t="s">
        <v>359</v>
      </c>
      <c r="H2" s="90" t="s">
        <v>360</v>
      </c>
      <c r="I2" s="90" t="s">
        <v>361</v>
      </c>
      <c r="J2" s="96" t="s">
        <v>8</v>
      </c>
      <c r="K2" s="96" t="s">
        <v>9</v>
      </c>
      <c r="L2" s="96" t="s">
        <v>10</v>
      </c>
      <c r="N2" s="323" t="s">
        <v>99</v>
      </c>
      <c r="O2" s="166" t="s">
        <v>100</v>
      </c>
      <c r="P2" s="286"/>
      <c r="Q2" s="324" t="s">
        <v>101</v>
      </c>
      <c r="R2" s="166" t="s">
        <v>102</v>
      </c>
    </row>
    <row r="3" spans="1:18" ht="22.5">
      <c r="A3" s="373" t="s">
        <v>362</v>
      </c>
      <c r="B3" s="90">
        <v>2108</v>
      </c>
      <c r="C3" s="90">
        <v>4</v>
      </c>
      <c r="D3" s="344" t="s">
        <v>363</v>
      </c>
      <c r="E3" s="336" t="s">
        <v>364</v>
      </c>
      <c r="F3" s="345" t="s">
        <v>365</v>
      </c>
      <c r="G3" s="116"/>
      <c r="H3" s="125"/>
      <c r="I3" s="125"/>
      <c r="J3" s="90">
        <f>COUNTA(D3)</f>
        <v>1</v>
      </c>
      <c r="K3" s="90">
        <f>COUNTA(D3:I3)</f>
        <v>3</v>
      </c>
      <c r="L3" s="90">
        <f>C3-K3</f>
        <v>1</v>
      </c>
      <c r="N3" s="295"/>
      <c r="O3" s="158"/>
      <c r="Q3" s="346" t="s">
        <v>366</v>
      </c>
      <c r="R3" s="158"/>
    </row>
    <row r="4" spans="1:18" ht="22.5">
      <c r="A4" s="373" t="s">
        <v>367</v>
      </c>
      <c r="B4" s="90">
        <v>3512</v>
      </c>
      <c r="C4" s="90">
        <v>4</v>
      </c>
      <c r="D4" s="118" t="s">
        <v>368</v>
      </c>
      <c r="E4" s="116"/>
      <c r="F4" s="116"/>
      <c r="G4" s="116"/>
      <c r="H4" s="125"/>
      <c r="I4" s="125"/>
      <c r="J4" s="90">
        <f t="shared" ref="J4:J8" si="0">COUNTA(D4)</f>
        <v>1</v>
      </c>
      <c r="K4" s="90">
        <f t="shared" ref="K4:K7" si="1">COUNTA(D4:I4)</f>
        <v>1</v>
      </c>
      <c r="L4" s="90">
        <f t="shared" ref="L4:L8" si="2">C4-K4</f>
        <v>3</v>
      </c>
      <c r="N4" s="296"/>
      <c r="O4" s="158"/>
      <c r="Q4" s="346" t="s">
        <v>369</v>
      </c>
      <c r="R4" s="158">
        <v>46122</v>
      </c>
    </row>
    <row r="5" spans="1:18" ht="22.5">
      <c r="A5" s="373" t="s">
        <v>370</v>
      </c>
      <c r="B5" s="90">
        <v>3524</v>
      </c>
      <c r="C5" s="90">
        <v>4</v>
      </c>
      <c r="D5" s="116"/>
      <c r="E5" s="116"/>
      <c r="F5" s="116"/>
      <c r="G5" s="337" t="s">
        <v>371</v>
      </c>
      <c r="H5" s="125"/>
      <c r="I5" s="125"/>
      <c r="J5" s="90">
        <f t="shared" si="0"/>
        <v>0</v>
      </c>
      <c r="K5" s="90">
        <f t="shared" si="1"/>
        <v>1</v>
      </c>
      <c r="L5" s="90">
        <f t="shared" si="2"/>
        <v>3</v>
      </c>
      <c r="N5" s="296"/>
      <c r="O5" s="158"/>
      <c r="Q5" s="346" t="s">
        <v>371</v>
      </c>
      <c r="R5" s="158">
        <v>46122</v>
      </c>
    </row>
    <row r="6" spans="1:18" ht="22.5">
      <c r="A6" s="373" t="s">
        <v>372</v>
      </c>
      <c r="B6" s="90">
        <v>3604</v>
      </c>
      <c r="C6" s="90">
        <v>6</v>
      </c>
      <c r="D6" s="337" t="s">
        <v>369</v>
      </c>
      <c r="E6" s="116"/>
      <c r="F6" s="116"/>
      <c r="G6" s="361" t="s">
        <v>373</v>
      </c>
      <c r="H6" s="337" t="s">
        <v>374</v>
      </c>
      <c r="I6" s="340" t="s">
        <v>375</v>
      </c>
      <c r="J6" s="90">
        <f t="shared" si="0"/>
        <v>1</v>
      </c>
      <c r="K6" s="90">
        <f t="shared" si="1"/>
        <v>4</v>
      </c>
      <c r="L6" s="90">
        <f t="shared" si="2"/>
        <v>2</v>
      </c>
      <c r="N6" s="296"/>
      <c r="O6" s="158"/>
      <c r="Q6" s="346" t="s">
        <v>374</v>
      </c>
      <c r="R6" s="158">
        <v>46122</v>
      </c>
    </row>
    <row r="7" spans="1:18" ht="30">
      <c r="A7" s="373" t="s">
        <v>376</v>
      </c>
      <c r="B7" s="90">
        <v>1407</v>
      </c>
      <c r="C7" s="90">
        <v>4</v>
      </c>
      <c r="D7" s="344" t="s">
        <v>377</v>
      </c>
      <c r="E7" s="344" t="s">
        <v>378</v>
      </c>
      <c r="F7" s="344" t="s">
        <v>379</v>
      </c>
      <c r="G7" s="118" t="s">
        <v>380</v>
      </c>
      <c r="H7" s="125"/>
      <c r="I7" s="125"/>
      <c r="J7" s="90">
        <f t="shared" si="0"/>
        <v>1</v>
      </c>
      <c r="K7" s="90">
        <f t="shared" si="1"/>
        <v>4</v>
      </c>
      <c r="L7" s="90">
        <f t="shared" si="2"/>
        <v>0</v>
      </c>
      <c r="N7" s="296"/>
      <c r="O7" s="158"/>
      <c r="Q7" s="347" t="s">
        <v>381</v>
      </c>
      <c r="R7" s="90"/>
    </row>
    <row r="8" spans="1:18" ht="22.5">
      <c r="A8" s="373" t="s">
        <v>382</v>
      </c>
      <c r="B8" s="90">
        <v>1506</v>
      </c>
      <c r="C8" s="90">
        <v>4</v>
      </c>
      <c r="D8" s="90"/>
      <c r="E8" s="90"/>
      <c r="F8" s="344" t="s">
        <v>383</v>
      </c>
      <c r="G8" s="338" t="s">
        <v>384</v>
      </c>
      <c r="H8" s="125"/>
      <c r="I8" s="125"/>
      <c r="J8" s="90">
        <f t="shared" si="0"/>
        <v>0</v>
      </c>
      <c r="K8" s="90">
        <f>COUNTA(D8:I8)</f>
        <v>2</v>
      </c>
      <c r="L8" s="90">
        <f t="shared" si="2"/>
        <v>2</v>
      </c>
      <c r="N8" s="298"/>
      <c r="O8" s="158"/>
      <c r="Q8" s="346" t="s">
        <v>385</v>
      </c>
      <c r="R8" s="90"/>
    </row>
    <row r="9" spans="1:18" ht="15.75" thickBot="1">
      <c r="J9" s="90">
        <f>SUM(J3:J8)</f>
        <v>4</v>
      </c>
      <c r="K9" s="90">
        <f t="shared" ref="K9:L9" si="3">SUM(K3:K8)</f>
        <v>15</v>
      </c>
      <c r="L9" s="90">
        <f t="shared" si="3"/>
        <v>11</v>
      </c>
      <c r="N9" s="298"/>
      <c r="O9" s="158"/>
      <c r="Q9" s="346" t="s">
        <v>386</v>
      </c>
      <c r="R9" s="90"/>
    </row>
    <row r="10" spans="1:18" ht="36.75" thickBot="1">
      <c r="J10" s="115" t="s">
        <v>8</v>
      </c>
      <c r="K10" s="115" t="s">
        <v>9</v>
      </c>
      <c r="L10" s="115" t="s">
        <v>10</v>
      </c>
      <c r="N10" s="296"/>
      <c r="O10" s="158"/>
      <c r="Q10" s="346" t="s">
        <v>387</v>
      </c>
      <c r="R10" s="90"/>
    </row>
    <row r="11" spans="1:18" ht="18.75">
      <c r="D11" t="s">
        <v>178</v>
      </c>
      <c r="E11" s="2" t="s">
        <v>388</v>
      </c>
      <c r="F11" t="s">
        <v>181</v>
      </c>
      <c r="G11" t="s">
        <v>182</v>
      </c>
      <c r="H11" t="s">
        <v>183</v>
      </c>
      <c r="N11" s="296"/>
      <c r="O11" s="158"/>
      <c r="Q11" s="360" t="s">
        <v>389</v>
      </c>
      <c r="R11" s="158">
        <v>46122</v>
      </c>
    </row>
    <row r="12" spans="1:18">
      <c r="D12" s="337" t="s">
        <v>390</v>
      </c>
      <c r="E12" s="337"/>
      <c r="F12" s="339" t="s">
        <v>391</v>
      </c>
      <c r="G12" s="337" t="s">
        <v>392</v>
      </c>
      <c r="H12" s="337" t="s">
        <v>393</v>
      </c>
      <c r="N12" s="298"/>
      <c r="O12" s="158"/>
      <c r="Q12" s="374" t="s">
        <v>394</v>
      </c>
      <c r="R12" s="375">
        <v>46138</v>
      </c>
    </row>
    <row r="13" spans="1:18">
      <c r="D13" s="349" t="s">
        <v>395</v>
      </c>
      <c r="E13" s="337"/>
      <c r="F13" s="339" t="s">
        <v>396</v>
      </c>
      <c r="G13" s="337" t="s">
        <v>397</v>
      </c>
      <c r="H13" s="337" t="s">
        <v>393</v>
      </c>
      <c r="N13" s="298"/>
      <c r="O13" s="158"/>
      <c r="Q13" s="374" t="s">
        <v>398</v>
      </c>
      <c r="R13" s="375">
        <v>46138</v>
      </c>
    </row>
    <row r="14" spans="1:18">
      <c r="D14" s="340" t="s">
        <v>399</v>
      </c>
      <c r="E14" s="340"/>
      <c r="F14" s="341" t="s">
        <v>400</v>
      </c>
      <c r="G14" s="340" t="s">
        <v>401</v>
      </c>
      <c r="H14" s="340" t="s">
        <v>393</v>
      </c>
      <c r="N14" s="298"/>
      <c r="O14" s="158"/>
      <c r="Q14" s="374" t="s">
        <v>402</v>
      </c>
      <c r="R14" s="375">
        <v>46138</v>
      </c>
    </row>
    <row r="15" spans="1:18" ht="23.25">
      <c r="D15" s="350" t="s">
        <v>403</v>
      </c>
      <c r="E15" s="340"/>
      <c r="F15" s="341" t="s">
        <v>404</v>
      </c>
      <c r="G15" s="340" t="s">
        <v>405</v>
      </c>
      <c r="H15" s="340" t="s">
        <v>393</v>
      </c>
      <c r="N15" s="298"/>
      <c r="O15" s="158"/>
      <c r="Q15" s="298"/>
      <c r="R15" s="90"/>
    </row>
    <row r="16" spans="1:18">
      <c r="D16" s="340" t="s">
        <v>406</v>
      </c>
      <c r="E16" s="340">
        <v>3524</v>
      </c>
      <c r="F16" s="341" t="s">
        <v>407</v>
      </c>
      <c r="G16" s="340" t="s">
        <v>408</v>
      </c>
      <c r="H16" s="340" t="s">
        <v>393</v>
      </c>
      <c r="N16" s="298"/>
      <c r="O16" s="158"/>
      <c r="Q16" s="298"/>
      <c r="R16" s="90"/>
    </row>
    <row r="17" spans="4:18">
      <c r="D17" s="337" t="s">
        <v>409</v>
      </c>
      <c r="E17" s="337"/>
      <c r="F17" s="339" t="s">
        <v>410</v>
      </c>
      <c r="G17" s="337" t="s">
        <v>411</v>
      </c>
      <c r="H17" s="337" t="s">
        <v>393</v>
      </c>
      <c r="N17" s="298"/>
      <c r="O17" s="158"/>
      <c r="Q17" s="298"/>
      <c r="R17" s="90"/>
    </row>
    <row r="18" spans="4:18">
      <c r="D18" s="349" t="s">
        <v>412</v>
      </c>
      <c r="E18" s="337"/>
      <c r="F18" s="339" t="s">
        <v>413</v>
      </c>
      <c r="G18" s="337" t="s">
        <v>414</v>
      </c>
      <c r="H18" s="337" t="s">
        <v>393</v>
      </c>
      <c r="N18" s="298"/>
      <c r="O18" s="158"/>
      <c r="Q18" s="298"/>
      <c r="R18" s="90"/>
    </row>
    <row r="19" spans="4:18">
      <c r="D19" s="340" t="s">
        <v>415</v>
      </c>
      <c r="E19" s="340"/>
      <c r="F19" s="341" t="s">
        <v>416</v>
      </c>
      <c r="G19" s="340" t="s">
        <v>417</v>
      </c>
      <c r="H19" s="340" t="s">
        <v>393</v>
      </c>
      <c r="N19" s="331"/>
      <c r="O19" s="158"/>
      <c r="Q19" s="298"/>
      <c r="R19" s="158"/>
    </row>
    <row r="20" spans="4:18">
      <c r="D20" s="337" t="s">
        <v>385</v>
      </c>
      <c r="E20" s="337"/>
      <c r="F20" s="339" t="s">
        <v>418</v>
      </c>
      <c r="G20" s="337" t="s">
        <v>419</v>
      </c>
      <c r="H20" s="337" t="s">
        <v>420</v>
      </c>
      <c r="N20" s="292"/>
      <c r="O20" s="158"/>
      <c r="Q20" s="298"/>
      <c r="R20" s="90"/>
    </row>
    <row r="21" spans="4:18">
      <c r="D21" s="337" t="s">
        <v>386</v>
      </c>
      <c r="E21" s="337"/>
      <c r="F21" s="339" t="s">
        <v>421</v>
      </c>
      <c r="G21" s="337" t="s">
        <v>422</v>
      </c>
      <c r="H21" s="337" t="s">
        <v>420</v>
      </c>
      <c r="N21" s="292"/>
      <c r="O21" s="158"/>
      <c r="Q21" s="298"/>
      <c r="R21" s="90"/>
    </row>
    <row r="22" spans="4:18">
      <c r="D22" s="337" t="s">
        <v>387</v>
      </c>
      <c r="E22" s="337"/>
      <c r="F22" s="339" t="s">
        <v>423</v>
      </c>
      <c r="G22" s="337" t="s">
        <v>424</v>
      </c>
      <c r="H22" s="337" t="s">
        <v>420</v>
      </c>
      <c r="N22" s="292"/>
      <c r="O22" s="158"/>
      <c r="Q22" s="124"/>
      <c r="R22" s="90"/>
    </row>
    <row r="23" spans="4:18">
      <c r="D23" s="341" t="s">
        <v>425</v>
      </c>
      <c r="E23" s="340">
        <v>1407</v>
      </c>
      <c r="F23" s="341" t="s">
        <v>426</v>
      </c>
      <c r="G23" s="340" t="s">
        <v>427</v>
      </c>
      <c r="H23" s="340" t="s">
        <v>219</v>
      </c>
      <c r="N23" s="296"/>
      <c r="O23" s="158"/>
      <c r="Q23" s="124"/>
      <c r="R23" s="90"/>
    </row>
    <row r="24" spans="4:18">
      <c r="D24" s="337" t="s">
        <v>366</v>
      </c>
      <c r="E24" s="337">
        <v>1506</v>
      </c>
      <c r="F24" s="339" t="s">
        <v>428</v>
      </c>
      <c r="G24" s="337" t="s">
        <v>429</v>
      </c>
      <c r="H24" s="337" t="s">
        <v>219</v>
      </c>
      <c r="N24" s="295"/>
      <c r="O24" s="158"/>
      <c r="Q24" s="124"/>
      <c r="R24" s="90"/>
    </row>
    <row r="25" spans="4:18">
      <c r="D25" s="340" t="s">
        <v>430</v>
      </c>
      <c r="E25" s="340">
        <v>1407</v>
      </c>
      <c r="F25" s="341" t="s">
        <v>431</v>
      </c>
      <c r="G25" s="340">
        <v>2132478216</v>
      </c>
      <c r="H25" s="340" t="s">
        <v>219</v>
      </c>
      <c r="N25" s="298"/>
      <c r="O25" s="158"/>
      <c r="Q25" s="298"/>
      <c r="R25" s="158"/>
    </row>
    <row r="26" spans="4:18">
      <c r="D26" s="340" t="s">
        <v>432</v>
      </c>
      <c r="E26" s="340">
        <v>1407</v>
      </c>
      <c r="F26" s="341" t="s">
        <v>433</v>
      </c>
      <c r="G26" s="340">
        <v>8325044413</v>
      </c>
      <c r="H26" s="340" t="s">
        <v>219</v>
      </c>
      <c r="N26" s="297"/>
      <c r="O26" s="158"/>
      <c r="Q26" s="124"/>
      <c r="R26" s="90"/>
    </row>
    <row r="27" spans="4:18">
      <c r="D27" s="340" t="s">
        <v>434</v>
      </c>
      <c r="E27" s="340">
        <v>1407</v>
      </c>
      <c r="F27" s="341" t="s">
        <v>435</v>
      </c>
      <c r="G27" s="340">
        <v>3464085051</v>
      </c>
      <c r="H27" s="340" t="s">
        <v>219</v>
      </c>
      <c r="N27" s="298"/>
      <c r="O27" s="158"/>
      <c r="Q27" s="124"/>
      <c r="R27" s="90"/>
    </row>
    <row r="28" spans="4:18" ht="23.25">
      <c r="D28" s="350" t="s">
        <v>436</v>
      </c>
      <c r="E28" s="340">
        <v>1506</v>
      </c>
      <c r="F28" s="341" t="s">
        <v>437</v>
      </c>
      <c r="G28" s="340" t="s">
        <v>438</v>
      </c>
      <c r="H28" s="340" t="s">
        <v>219</v>
      </c>
      <c r="N28" s="298"/>
      <c r="O28" s="158"/>
      <c r="Q28" s="124"/>
      <c r="R28" s="90"/>
    </row>
    <row r="29" spans="4:18">
      <c r="D29" s="340" t="s">
        <v>439</v>
      </c>
      <c r="E29" s="340">
        <v>2108</v>
      </c>
      <c r="F29" s="341" t="s">
        <v>440</v>
      </c>
      <c r="G29" s="340" t="s">
        <v>441</v>
      </c>
      <c r="H29" s="340" t="s">
        <v>442</v>
      </c>
      <c r="Q29" s="124"/>
      <c r="R29" s="90"/>
    </row>
    <row r="30" spans="4:18" ht="23.25">
      <c r="D30" s="351" t="s">
        <v>443</v>
      </c>
      <c r="E30" s="337">
        <v>2108</v>
      </c>
      <c r="F30" s="339" t="s">
        <v>444</v>
      </c>
      <c r="G30" s="337" t="s">
        <v>445</v>
      </c>
      <c r="H30" s="337" t="s">
        <v>442</v>
      </c>
      <c r="N30" s="90"/>
      <c r="O30" s="90"/>
      <c r="Q30" s="124"/>
      <c r="R30" s="90"/>
    </row>
    <row r="31" spans="4:18" ht="23.25">
      <c r="D31" s="350" t="s">
        <v>446</v>
      </c>
      <c r="E31" s="340">
        <v>2108</v>
      </c>
      <c r="F31" s="341" t="s">
        <v>447</v>
      </c>
      <c r="G31" s="340" t="s">
        <v>448</v>
      </c>
      <c r="H31" s="340" t="s">
        <v>442</v>
      </c>
      <c r="N31" s="90"/>
      <c r="O31" s="90"/>
      <c r="Q31" s="298"/>
      <c r="R31" s="158"/>
    </row>
    <row r="32" spans="4:18">
      <c r="D32" s="342" t="s">
        <v>449</v>
      </c>
      <c r="E32" s="342">
        <v>3512</v>
      </c>
      <c r="F32" s="343"/>
      <c r="G32" s="342"/>
      <c r="H32" s="342"/>
      <c r="N32" s="90"/>
      <c r="O32" s="90"/>
      <c r="Q32" s="124"/>
      <c r="R32" s="90"/>
    </row>
    <row r="33" spans="6:18">
      <c r="N33" s="90"/>
      <c r="O33" s="90"/>
      <c r="Q33" s="124"/>
      <c r="R33" s="90"/>
    </row>
    <row r="34" spans="6:18">
      <c r="N34" s="90"/>
      <c r="O34" s="90"/>
      <c r="Q34" s="124"/>
      <c r="R34" s="90"/>
    </row>
    <row r="35" spans="6:18">
      <c r="F35" s="90" t="s">
        <v>67</v>
      </c>
      <c r="G35" s="90" t="s">
        <v>450</v>
      </c>
      <c r="N35" s="90"/>
      <c r="O35" s="90"/>
      <c r="Q35" s="124"/>
      <c r="R35" s="90"/>
    </row>
    <row r="36" spans="6:18">
      <c r="F36" s="90">
        <v>2108</v>
      </c>
      <c r="G36" s="158">
        <v>46147</v>
      </c>
      <c r="N36" s="90"/>
      <c r="O36" s="90"/>
      <c r="Q36" s="124"/>
      <c r="R36" s="90"/>
    </row>
    <row r="37" spans="6:18">
      <c r="F37" s="90">
        <v>3512</v>
      </c>
      <c r="G37" s="375">
        <v>46144</v>
      </c>
      <c r="N37" s="90"/>
      <c r="O37" s="90"/>
      <c r="Q37" s="298"/>
      <c r="R37" s="158"/>
    </row>
    <row r="38" spans="6:18">
      <c r="F38" s="90">
        <v>3524</v>
      </c>
      <c r="G38" s="158">
        <v>46147</v>
      </c>
      <c r="N38" s="90"/>
      <c r="O38" s="90"/>
      <c r="Q38" s="90"/>
      <c r="R38" s="90"/>
    </row>
    <row r="39" spans="6:18">
      <c r="F39" s="90">
        <v>3604</v>
      </c>
      <c r="G39" s="158">
        <v>46147</v>
      </c>
      <c r="N39" s="90"/>
      <c r="O39" s="90"/>
      <c r="Q39" s="90"/>
      <c r="R39" s="90"/>
    </row>
    <row r="40" spans="6:18">
      <c r="F40" s="90">
        <v>1407</v>
      </c>
      <c r="G40" s="158">
        <v>46147</v>
      </c>
      <c r="N40" s="90"/>
      <c r="O40" s="90"/>
      <c r="Q40" s="90"/>
      <c r="R40" s="90"/>
    </row>
    <row r="41" spans="6:18">
      <c r="F41" s="90">
        <v>1506</v>
      </c>
      <c r="G41" s="158">
        <v>46147</v>
      </c>
      <c r="N41" s="90"/>
      <c r="O41" s="90"/>
      <c r="Q41" s="90"/>
      <c r="R41" s="90"/>
    </row>
    <row r="42" spans="6:18">
      <c r="N42" s="90"/>
      <c r="O42" s="90"/>
      <c r="Q42" s="90"/>
      <c r="R42" s="90"/>
    </row>
    <row r="43" spans="6:18">
      <c r="N43" s="90"/>
      <c r="O43" s="90"/>
      <c r="Q43" s="90"/>
      <c r="R43" s="90"/>
    </row>
    <row r="44" spans="6:18">
      <c r="N44" s="90"/>
      <c r="O44" s="90"/>
      <c r="Q44" s="90"/>
      <c r="R44" s="90"/>
    </row>
    <row r="45" spans="6:18">
      <c r="N45" s="90"/>
      <c r="O45" s="90"/>
      <c r="Q45" s="90"/>
      <c r="R45" s="90"/>
    </row>
    <row r="46" spans="6:18">
      <c r="N46" s="90"/>
      <c r="O46" s="90"/>
      <c r="Q46" s="90"/>
      <c r="R46" s="90"/>
    </row>
    <row r="47" spans="6:18">
      <c r="N47" s="90"/>
      <c r="O47" s="90"/>
      <c r="Q47" s="90"/>
      <c r="R47" s="90"/>
    </row>
    <row r="48" spans="6:18">
      <c r="N48" s="90"/>
      <c r="O48" s="90"/>
      <c r="Q48" s="90"/>
      <c r="R48" s="90"/>
    </row>
    <row r="49" spans="14:18">
      <c r="N49" s="90"/>
      <c r="O49" s="90"/>
      <c r="Q49" s="90"/>
      <c r="R49" s="90"/>
    </row>
    <row r="50" spans="14:18">
      <c r="N50" s="90"/>
      <c r="O50" s="90"/>
      <c r="Q50" s="90"/>
      <c r="R50" s="90"/>
    </row>
    <row r="51" spans="14:18">
      <c r="N51" s="90"/>
      <c r="O51" s="90"/>
      <c r="Q51" s="90"/>
      <c r="R51" s="90"/>
    </row>
    <row r="52" spans="14:18">
      <c r="N52" s="90"/>
      <c r="O52" s="90"/>
      <c r="Q52" s="90"/>
      <c r="R52" s="90"/>
    </row>
    <row r="53" spans="14:18">
      <c r="N53" s="90"/>
      <c r="O53" s="90"/>
      <c r="Q53" s="90"/>
      <c r="R53" s="90"/>
    </row>
    <row r="54" spans="14:18">
      <c r="N54" s="90"/>
      <c r="O54" s="90"/>
      <c r="Q54" s="90"/>
      <c r="R54" s="90"/>
    </row>
    <row r="55" spans="14:18">
      <c r="N55" s="90"/>
      <c r="O55" s="90"/>
      <c r="Q55" s="90"/>
      <c r="R55" s="90"/>
    </row>
    <row r="56" spans="14:18">
      <c r="N56" s="90"/>
      <c r="O56" s="90"/>
      <c r="Q56" s="90"/>
      <c r="R56" s="90"/>
    </row>
    <row r="57" spans="14:18">
      <c r="N57" s="90"/>
      <c r="O57" s="90"/>
      <c r="Q57" s="90"/>
      <c r="R57" s="90"/>
    </row>
    <row r="58" spans="14:18">
      <c r="N58" s="90"/>
      <c r="O58" s="90"/>
      <c r="Q58" s="90"/>
      <c r="R58" s="90"/>
    </row>
    <row r="59" spans="14:18">
      <c r="N59" s="90"/>
      <c r="O59" s="90"/>
      <c r="Q59" s="90"/>
      <c r="R59" s="90"/>
    </row>
    <row r="60" spans="14:18">
      <c r="N60" s="90"/>
      <c r="O60" s="90"/>
      <c r="Q60" s="90"/>
      <c r="R60" s="90"/>
    </row>
    <row r="61" spans="14:18">
      <c r="N61" s="90"/>
      <c r="O61" s="9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39BB-0EF8-4D3B-814D-E9DF77B80AC9}">
  <sheetPr>
    <tabColor rgb="FF92D050"/>
  </sheetPr>
  <dimension ref="A1:W69"/>
  <sheetViews>
    <sheetView zoomScale="107" zoomScaleNormal="140" workbookViewId="0">
      <selection activeCell="F17" sqref="F17"/>
    </sheetView>
  </sheetViews>
  <sheetFormatPr defaultRowHeight="15"/>
  <cols>
    <col min="5" max="5" width="26" customWidth="1"/>
    <col min="6" max="6" width="23.42578125" bestFit="1" customWidth="1"/>
    <col min="7" max="7" width="27.85546875" customWidth="1"/>
    <col min="8" max="8" width="23.85546875" bestFit="1" customWidth="1"/>
    <col min="9" max="9" width="13" customWidth="1"/>
    <col min="12" max="12" width="15.42578125" bestFit="1" customWidth="1"/>
    <col min="13" max="13" width="29.85546875" customWidth="1"/>
    <col min="14" max="14" width="12.7109375" customWidth="1"/>
    <col min="15" max="15" width="3.28515625" customWidth="1"/>
    <col min="16" max="16" width="34.7109375" customWidth="1"/>
    <col min="17" max="17" width="12.7109375" customWidth="1"/>
    <col min="18" max="18" width="3" customWidth="1"/>
    <col min="19" max="19" width="34.7109375" customWidth="1"/>
    <col min="20" max="20" width="12.7109375" customWidth="1"/>
    <col min="21" max="21" width="3" customWidth="1"/>
    <col min="22" max="22" width="34.7109375" customWidth="1"/>
    <col min="23" max="23" width="12.7109375" customWidth="1"/>
  </cols>
  <sheetData>
    <row r="1" spans="1:23">
      <c r="B1" s="582" t="s">
        <v>451</v>
      </c>
      <c r="C1" s="582"/>
      <c r="D1" s="582"/>
      <c r="E1" s="582"/>
      <c r="F1" s="582"/>
      <c r="G1" s="582"/>
      <c r="H1" s="582"/>
    </row>
    <row r="2" spans="1:23" ht="30.75" thickBot="1">
      <c r="A2" s="2"/>
      <c r="B2" s="2"/>
      <c r="C2" s="2"/>
      <c r="D2" s="2"/>
      <c r="E2" s="597" t="s">
        <v>452</v>
      </c>
      <c r="F2" s="597"/>
      <c r="G2" s="597" t="s">
        <v>453</v>
      </c>
      <c r="H2" s="597"/>
      <c r="M2" s="323" t="s">
        <v>99</v>
      </c>
      <c r="N2" s="166" t="s">
        <v>100</v>
      </c>
      <c r="O2" s="286"/>
      <c r="P2" s="324" t="s">
        <v>101</v>
      </c>
      <c r="Q2" s="166" t="s">
        <v>102</v>
      </c>
      <c r="S2" s="323" t="s">
        <v>103</v>
      </c>
      <c r="T2" s="166" t="s">
        <v>100</v>
      </c>
      <c r="U2" s="286"/>
      <c r="V2" s="324" t="s">
        <v>104</v>
      </c>
      <c r="W2" s="166" t="s">
        <v>102</v>
      </c>
    </row>
    <row r="3" spans="1:23" ht="24.75" thickBot="1">
      <c r="A3" s="22" t="s">
        <v>3</v>
      </c>
      <c r="B3" s="22" t="s">
        <v>105</v>
      </c>
      <c r="C3" s="22" t="s">
        <v>5</v>
      </c>
      <c r="D3" s="22" t="s">
        <v>355</v>
      </c>
      <c r="E3" s="117" t="s">
        <v>130</v>
      </c>
      <c r="F3" s="117" t="s">
        <v>131</v>
      </c>
      <c r="G3" s="117" t="s">
        <v>454</v>
      </c>
      <c r="H3" s="117" t="s">
        <v>133</v>
      </c>
      <c r="I3" s="96" t="s">
        <v>8</v>
      </c>
      <c r="J3" s="96" t="s">
        <v>9</v>
      </c>
      <c r="K3" s="96" t="s">
        <v>10</v>
      </c>
      <c r="M3" s="356" t="s">
        <v>455</v>
      </c>
      <c r="N3" s="158">
        <v>46126</v>
      </c>
      <c r="P3" s="372" t="s">
        <v>456</v>
      </c>
      <c r="Q3" s="158"/>
      <c r="S3" s="295"/>
      <c r="T3" s="158"/>
      <c r="V3" s="295"/>
      <c r="W3" s="158"/>
    </row>
    <row r="4" spans="1:23" ht="19.5" thickBot="1">
      <c r="A4" s="484">
        <v>45</v>
      </c>
      <c r="B4" s="117"/>
      <c r="C4" s="117">
        <v>4</v>
      </c>
      <c r="D4" s="117">
        <v>4</v>
      </c>
      <c r="E4" s="119" t="s">
        <v>457</v>
      </c>
      <c r="F4" s="119" t="s">
        <v>458</v>
      </c>
      <c r="G4" s="130" t="s">
        <v>459</v>
      </c>
      <c r="H4" s="128"/>
      <c r="I4" s="99">
        <f>COUNTA(E4)</f>
        <v>1</v>
      </c>
      <c r="J4" s="99">
        <f>COUNTA(E4:H4)</f>
        <v>3</v>
      </c>
      <c r="K4" s="99">
        <f>C4-J4</f>
        <v>1</v>
      </c>
      <c r="M4" s="130" t="s">
        <v>460</v>
      </c>
      <c r="N4" s="158">
        <v>46130</v>
      </c>
      <c r="P4" s="292"/>
      <c r="Q4" s="158"/>
    </row>
    <row r="5" spans="1:23" ht="19.5" thickBot="1">
      <c r="A5" s="484">
        <v>36</v>
      </c>
      <c r="B5" s="117"/>
      <c r="C5" s="117">
        <v>4</v>
      </c>
      <c r="D5" s="117">
        <v>4</v>
      </c>
      <c r="E5" s="119" t="s">
        <v>461</v>
      </c>
      <c r="F5" s="483"/>
      <c r="G5" s="119" t="s">
        <v>462</v>
      </c>
      <c r="H5" s="130" t="s">
        <v>463</v>
      </c>
      <c r="I5" s="99">
        <f>COUNTA(E5)</f>
        <v>1</v>
      </c>
      <c r="J5" s="99">
        <f>COUNTA(E5:H5)</f>
        <v>3</v>
      </c>
      <c r="K5" s="99">
        <f t="shared" ref="K5:K8" si="0">C5-J5</f>
        <v>1</v>
      </c>
      <c r="M5" s="130" t="s">
        <v>464</v>
      </c>
      <c r="N5" s="158">
        <v>46130</v>
      </c>
      <c r="P5" s="90"/>
      <c r="Q5" s="90"/>
    </row>
    <row r="6" spans="1:23" ht="19.5" thickBot="1">
      <c r="A6" s="484">
        <v>48</v>
      </c>
      <c r="B6" s="117"/>
      <c r="C6" s="117">
        <v>4</v>
      </c>
      <c r="D6" s="117">
        <v>4</v>
      </c>
      <c r="E6" s="119" t="s">
        <v>465</v>
      </c>
      <c r="F6" s="119" t="s">
        <v>466</v>
      </c>
      <c r="G6" s="119" t="s">
        <v>467</v>
      </c>
      <c r="H6" s="119" t="s">
        <v>468</v>
      </c>
      <c r="I6" s="99">
        <f t="shared" ref="I6:I8" si="1">COUNTA(E6)</f>
        <v>1</v>
      </c>
      <c r="J6" s="99">
        <f>COUNTA(E6:H6)</f>
        <v>4</v>
      </c>
      <c r="K6" s="99">
        <f t="shared" si="0"/>
        <v>0</v>
      </c>
      <c r="M6" s="130" t="s">
        <v>469</v>
      </c>
      <c r="N6" s="158">
        <v>46130</v>
      </c>
      <c r="P6" s="90"/>
      <c r="Q6" s="90"/>
    </row>
    <row r="7" spans="1:23" ht="19.5" thickBot="1">
      <c r="A7" s="484">
        <v>49</v>
      </c>
      <c r="B7" s="117"/>
      <c r="C7" s="117">
        <v>4</v>
      </c>
      <c r="D7" s="117">
        <v>4</v>
      </c>
      <c r="E7" s="119" t="s">
        <v>470</v>
      </c>
      <c r="F7" s="119" t="s">
        <v>471</v>
      </c>
      <c r="G7" s="119" t="s">
        <v>472</v>
      </c>
      <c r="H7" s="126"/>
      <c r="I7" s="99">
        <f t="shared" si="1"/>
        <v>1</v>
      </c>
      <c r="J7" s="99">
        <f t="shared" ref="J7:J11" si="2">COUNTA(E7:H7)</f>
        <v>3</v>
      </c>
      <c r="K7" s="99">
        <f t="shared" si="0"/>
        <v>1</v>
      </c>
      <c r="M7" s="130" t="s">
        <v>473</v>
      </c>
      <c r="N7" s="158">
        <v>46130</v>
      </c>
      <c r="P7" s="90"/>
      <c r="Q7" s="90"/>
    </row>
    <row r="8" spans="1:23" ht="19.5" thickBot="1">
      <c r="A8" s="484">
        <v>32</v>
      </c>
      <c r="B8" s="117"/>
      <c r="C8" s="117">
        <v>4</v>
      </c>
      <c r="D8" s="117">
        <v>4</v>
      </c>
      <c r="E8" s="127" t="s">
        <v>474</v>
      </c>
      <c r="F8" s="127" t="s">
        <v>475</v>
      </c>
      <c r="G8" s="127" t="s">
        <v>476</v>
      </c>
      <c r="H8" s="127" t="s">
        <v>477</v>
      </c>
      <c r="I8" s="105">
        <f t="shared" si="1"/>
        <v>1</v>
      </c>
      <c r="J8" s="99">
        <f t="shared" si="2"/>
        <v>4</v>
      </c>
      <c r="K8" s="99">
        <f t="shared" si="0"/>
        <v>0</v>
      </c>
      <c r="M8" s="130" t="s">
        <v>459</v>
      </c>
      <c r="N8" s="158">
        <v>46130</v>
      </c>
      <c r="P8" s="90"/>
      <c r="Q8" s="90"/>
    </row>
    <row r="9" spans="1:23" ht="19.5" thickBot="1">
      <c r="A9" s="484">
        <v>42</v>
      </c>
      <c r="B9" s="117"/>
      <c r="C9" s="117">
        <v>4</v>
      </c>
      <c r="D9" s="117">
        <v>4</v>
      </c>
      <c r="E9" s="130" t="s">
        <v>478</v>
      </c>
      <c r="F9" s="130" t="s">
        <v>479</v>
      </c>
      <c r="G9" s="130" t="s">
        <v>480</v>
      </c>
      <c r="H9" s="130" t="s">
        <v>455</v>
      </c>
      <c r="I9" s="105">
        <f t="shared" ref="I9:I11" si="3">COUNTA(E9)</f>
        <v>1</v>
      </c>
      <c r="J9" s="99">
        <f t="shared" si="2"/>
        <v>4</v>
      </c>
      <c r="K9" s="99">
        <f t="shared" ref="K9:K11" si="4">C9-J9</f>
        <v>0</v>
      </c>
      <c r="M9" s="130"/>
      <c r="N9" s="158"/>
      <c r="P9" s="90"/>
      <c r="Q9" s="90"/>
    </row>
    <row r="10" spans="1:23" ht="19.5" thickBot="1">
      <c r="A10" s="485">
        <v>52</v>
      </c>
      <c r="B10" s="117"/>
      <c r="C10" s="117">
        <v>4</v>
      </c>
      <c r="D10" s="117">
        <v>4</v>
      </c>
      <c r="E10" s="130" t="s">
        <v>460</v>
      </c>
      <c r="F10" s="130" t="s">
        <v>464</v>
      </c>
      <c r="G10" s="130" t="s">
        <v>469</v>
      </c>
      <c r="H10" s="130" t="s">
        <v>473</v>
      </c>
      <c r="I10" s="105">
        <f t="shared" si="3"/>
        <v>1</v>
      </c>
      <c r="J10" s="99">
        <f t="shared" si="2"/>
        <v>4</v>
      </c>
      <c r="K10" s="99">
        <f t="shared" si="4"/>
        <v>0</v>
      </c>
      <c r="M10" s="130"/>
      <c r="N10" s="158"/>
      <c r="P10" s="90"/>
      <c r="Q10" s="90"/>
    </row>
    <row r="11" spans="1:23" ht="19.5" thickBot="1">
      <c r="A11" s="479"/>
      <c r="B11" s="479"/>
      <c r="C11" s="479"/>
      <c r="D11" s="479"/>
      <c r="E11" s="480"/>
      <c r="F11" s="480"/>
      <c r="G11" s="480"/>
      <c r="H11" s="480"/>
      <c r="I11" s="105">
        <f t="shared" si="3"/>
        <v>0</v>
      </c>
      <c r="J11" s="99">
        <f t="shared" si="2"/>
        <v>0</v>
      </c>
      <c r="K11" s="105">
        <f t="shared" si="4"/>
        <v>0</v>
      </c>
      <c r="M11" s="130"/>
      <c r="N11" s="158"/>
      <c r="P11" s="90"/>
      <c r="Q11" s="90"/>
    </row>
    <row r="12" spans="1:23" ht="19.5" thickBot="1">
      <c r="A12" s="2"/>
      <c r="B12" s="2"/>
      <c r="C12" s="2"/>
      <c r="D12" s="2"/>
      <c r="E12" s="2"/>
      <c r="F12" s="2"/>
      <c r="G12" s="2"/>
      <c r="H12" s="2"/>
      <c r="I12" s="481">
        <f>SUM(I3:I11)</f>
        <v>7</v>
      </c>
      <c r="J12" s="482">
        <f>SUM(J4:J11)</f>
        <v>25</v>
      </c>
      <c r="K12" s="481">
        <f>SUM(K3:K11)</f>
        <v>3</v>
      </c>
      <c r="M12" s="130"/>
      <c r="N12" s="158"/>
      <c r="P12" s="90"/>
      <c r="Q12" s="90"/>
    </row>
    <row r="13" spans="1:23" ht="24.75" thickBot="1">
      <c r="A13" s="2"/>
      <c r="B13" s="2"/>
      <c r="C13" s="2"/>
      <c r="D13" s="2"/>
      <c r="E13" s="2"/>
      <c r="F13" s="2"/>
      <c r="G13" s="2"/>
      <c r="H13" s="2"/>
      <c r="I13" s="115" t="s">
        <v>8</v>
      </c>
      <c r="J13" s="115" t="s">
        <v>9</v>
      </c>
      <c r="K13" s="115" t="s">
        <v>10</v>
      </c>
      <c r="M13" s="130"/>
      <c r="N13" s="158"/>
      <c r="P13" s="90"/>
      <c r="Q13" s="90"/>
    </row>
    <row r="14" spans="1:23" ht="18.75">
      <c r="A14" s="2"/>
      <c r="B14" s="2"/>
      <c r="C14" s="2"/>
      <c r="D14" s="2"/>
      <c r="E14" s="2"/>
      <c r="F14" s="2"/>
      <c r="G14" s="2"/>
      <c r="H14" s="2"/>
      <c r="M14" s="130"/>
      <c r="N14" s="158"/>
      <c r="P14" s="124"/>
      <c r="Q14" s="90"/>
    </row>
    <row r="15" spans="1:23" ht="18.75">
      <c r="E15" s="120" t="s">
        <v>178</v>
      </c>
      <c r="F15" s="121" t="s">
        <v>388</v>
      </c>
      <c r="G15" s="122" t="s">
        <v>179</v>
      </c>
      <c r="H15" s="122" t="s">
        <v>181</v>
      </c>
      <c r="I15" s="122" t="s">
        <v>182</v>
      </c>
      <c r="J15" s="122" t="s">
        <v>183</v>
      </c>
      <c r="M15" s="130"/>
      <c r="N15" s="158"/>
      <c r="P15" s="124"/>
      <c r="Q15" s="90"/>
    </row>
    <row r="16" spans="1:23" ht="18.75">
      <c r="E16" s="123" t="s">
        <v>481</v>
      </c>
      <c r="F16" s="131">
        <v>36</v>
      </c>
      <c r="G16" s="363"/>
      <c r="H16" s="363" t="s">
        <v>482</v>
      </c>
      <c r="I16" s="363" t="s">
        <v>483</v>
      </c>
      <c r="J16" s="135" t="s">
        <v>484</v>
      </c>
      <c r="M16" s="130"/>
      <c r="N16" s="158"/>
      <c r="P16" s="124"/>
      <c r="Q16" s="90"/>
    </row>
    <row r="17" spans="5:17" ht="18.75">
      <c r="E17" s="129" t="s">
        <v>469</v>
      </c>
      <c r="F17" s="136">
        <v>52</v>
      </c>
      <c r="G17" s="131"/>
      <c r="H17" s="136"/>
      <c r="I17" s="136"/>
      <c r="J17" s="137"/>
      <c r="M17" s="130"/>
      <c r="N17" s="158"/>
      <c r="P17" s="124"/>
      <c r="Q17" s="90"/>
    </row>
    <row r="18" spans="5:17" ht="18.75">
      <c r="E18" s="123" t="s">
        <v>485</v>
      </c>
      <c r="F18" s="131">
        <v>32</v>
      </c>
      <c r="G18" s="131"/>
      <c r="H18" s="131" t="s">
        <v>486</v>
      </c>
      <c r="I18" s="131">
        <v>7653893662</v>
      </c>
      <c r="J18" s="135" t="s">
        <v>487</v>
      </c>
      <c r="M18" s="130"/>
      <c r="N18" s="158"/>
      <c r="P18" s="124"/>
      <c r="Q18" s="90"/>
    </row>
    <row r="19" spans="5:17" ht="18.75">
      <c r="E19" s="123" t="s">
        <v>488</v>
      </c>
      <c r="F19" s="131">
        <v>32</v>
      </c>
      <c r="G19" s="131"/>
      <c r="H19" s="131" t="s">
        <v>489</v>
      </c>
      <c r="I19" s="131">
        <v>5745208101</v>
      </c>
      <c r="J19" s="135" t="s">
        <v>490</v>
      </c>
      <c r="L19" t="s">
        <v>491</v>
      </c>
      <c r="M19" s="130"/>
      <c r="N19" s="158"/>
      <c r="P19" s="298"/>
      <c r="Q19" s="158"/>
    </row>
    <row r="20" spans="5:17" ht="18.75">
      <c r="E20" s="123" t="s">
        <v>492</v>
      </c>
      <c r="F20" s="131">
        <v>48</v>
      </c>
      <c r="G20" s="131" t="s">
        <v>493</v>
      </c>
      <c r="H20" s="131" t="s">
        <v>494</v>
      </c>
      <c r="I20" s="131" t="s">
        <v>495</v>
      </c>
      <c r="J20" s="135" t="s">
        <v>496</v>
      </c>
      <c r="L20" t="s">
        <v>497</v>
      </c>
      <c r="M20" s="130"/>
      <c r="N20" s="158"/>
      <c r="P20" s="124"/>
      <c r="Q20" s="90"/>
    </row>
    <row r="21" spans="5:17" ht="18.75">
      <c r="E21" s="123" t="s">
        <v>498</v>
      </c>
      <c r="F21" s="131">
        <v>36</v>
      </c>
      <c r="G21" s="131" t="s">
        <v>493</v>
      </c>
      <c r="H21" s="131" t="s">
        <v>499</v>
      </c>
      <c r="I21" s="131" t="s">
        <v>500</v>
      </c>
      <c r="J21" s="135" t="s">
        <v>496</v>
      </c>
      <c r="M21" s="130"/>
      <c r="N21" s="158"/>
      <c r="P21" s="124"/>
      <c r="Q21" s="90"/>
    </row>
    <row r="22" spans="5:17" ht="18.75">
      <c r="E22" s="123" t="s">
        <v>501</v>
      </c>
      <c r="F22" s="131">
        <v>45</v>
      </c>
      <c r="G22" s="131" t="s">
        <v>493</v>
      </c>
      <c r="H22" s="335" t="s">
        <v>502</v>
      </c>
      <c r="I22" s="131" t="s">
        <v>503</v>
      </c>
      <c r="J22" s="135" t="s">
        <v>504</v>
      </c>
      <c r="M22" s="130"/>
      <c r="N22" s="158"/>
      <c r="P22" s="124"/>
      <c r="Q22" s="90"/>
    </row>
    <row r="23" spans="5:17" ht="18.75">
      <c r="E23" s="123" t="s">
        <v>505</v>
      </c>
      <c r="F23" s="131">
        <v>42</v>
      </c>
      <c r="G23" s="131" t="s">
        <v>493</v>
      </c>
      <c r="H23" s="131" t="s">
        <v>506</v>
      </c>
      <c r="I23" s="131" t="s">
        <v>507</v>
      </c>
      <c r="J23" s="135" t="s">
        <v>297</v>
      </c>
      <c r="M23" s="130"/>
      <c r="N23" s="158"/>
      <c r="P23" s="124"/>
      <c r="Q23" s="90"/>
    </row>
    <row r="24" spans="5:17" ht="18.75">
      <c r="E24" s="123" t="s">
        <v>508</v>
      </c>
      <c r="F24" s="131">
        <v>32</v>
      </c>
      <c r="G24" s="131"/>
      <c r="H24" s="131" t="s">
        <v>509</v>
      </c>
      <c r="I24" s="131" t="s">
        <v>510</v>
      </c>
      <c r="J24" s="135" t="s">
        <v>490</v>
      </c>
      <c r="M24" s="356"/>
      <c r="N24" s="158"/>
      <c r="P24" s="124"/>
      <c r="Q24" s="90"/>
    </row>
    <row r="25" spans="5:17" ht="18.75">
      <c r="E25" s="123" t="s">
        <v>511</v>
      </c>
      <c r="F25" s="131">
        <v>48</v>
      </c>
      <c r="G25" s="131" t="s">
        <v>493</v>
      </c>
      <c r="H25" s="131" t="s">
        <v>512</v>
      </c>
      <c r="I25" s="131" t="s">
        <v>513</v>
      </c>
      <c r="J25" s="135" t="s">
        <v>496</v>
      </c>
      <c r="M25" s="130"/>
      <c r="N25" s="158"/>
      <c r="P25" s="298"/>
      <c r="Q25" s="158"/>
    </row>
    <row r="26" spans="5:17" ht="18.75">
      <c r="E26" s="123" t="s">
        <v>455</v>
      </c>
      <c r="F26" s="131">
        <v>42</v>
      </c>
      <c r="G26" s="131" t="s">
        <v>493</v>
      </c>
      <c r="H26" s="131"/>
      <c r="I26" s="131"/>
      <c r="J26" s="135"/>
      <c r="M26" s="356"/>
      <c r="N26" s="158"/>
      <c r="P26" s="124"/>
      <c r="Q26" s="90"/>
    </row>
    <row r="27" spans="5:17" ht="18.75">
      <c r="E27" s="123" t="s">
        <v>514</v>
      </c>
      <c r="F27" s="131">
        <v>49</v>
      </c>
      <c r="G27" s="131" t="s">
        <v>493</v>
      </c>
      <c r="H27" s="131" t="s">
        <v>515</v>
      </c>
      <c r="I27" s="131" t="s">
        <v>516</v>
      </c>
      <c r="J27" s="135" t="s">
        <v>517</v>
      </c>
      <c r="M27" s="130"/>
      <c r="N27" s="158"/>
      <c r="P27" s="124"/>
      <c r="Q27" s="90"/>
    </row>
    <row r="28" spans="5:17" ht="18.75">
      <c r="E28" s="123" t="s">
        <v>518</v>
      </c>
      <c r="F28" s="131">
        <v>36</v>
      </c>
      <c r="G28" s="131" t="s">
        <v>493</v>
      </c>
      <c r="H28" s="131" t="s">
        <v>519</v>
      </c>
      <c r="I28" s="131" t="s">
        <v>520</v>
      </c>
      <c r="J28" s="135" t="s">
        <v>521</v>
      </c>
      <c r="M28" s="130"/>
      <c r="N28" s="158"/>
      <c r="P28" s="124"/>
      <c r="Q28" s="90"/>
    </row>
    <row r="29" spans="5:17" ht="18.75">
      <c r="E29" s="123" t="s">
        <v>459</v>
      </c>
      <c r="F29" s="131">
        <v>52</v>
      </c>
      <c r="G29" s="131"/>
      <c r="H29" s="131"/>
      <c r="I29" s="131"/>
      <c r="J29" s="135"/>
      <c r="M29" s="357"/>
      <c r="P29" s="124"/>
      <c r="Q29" s="90"/>
    </row>
    <row r="30" spans="5:17" ht="18.75">
      <c r="E30" s="123" t="s">
        <v>522</v>
      </c>
      <c r="F30" s="131">
        <v>49</v>
      </c>
      <c r="G30" s="131" t="s">
        <v>493</v>
      </c>
      <c r="H30" s="131" t="s">
        <v>523</v>
      </c>
      <c r="I30" s="131" t="s">
        <v>524</v>
      </c>
      <c r="J30" s="135" t="s">
        <v>521</v>
      </c>
      <c r="M30" s="130"/>
      <c r="N30" s="90"/>
      <c r="P30" s="124"/>
      <c r="Q30" s="90"/>
    </row>
    <row r="31" spans="5:17" ht="18.75">
      <c r="E31" s="129" t="s">
        <v>473</v>
      </c>
      <c r="F31" s="136">
        <v>45</v>
      </c>
      <c r="G31" s="131"/>
      <c r="H31" s="136"/>
      <c r="I31" s="136"/>
      <c r="J31" s="137"/>
      <c r="M31" s="130"/>
      <c r="N31" s="90"/>
      <c r="P31" s="298"/>
      <c r="Q31" s="158"/>
    </row>
    <row r="32" spans="5:17" ht="18.75">
      <c r="E32" s="123" t="s">
        <v>525</v>
      </c>
      <c r="F32" s="131">
        <v>49</v>
      </c>
      <c r="G32" s="131" t="s">
        <v>526</v>
      </c>
      <c r="H32" s="131" t="s">
        <v>527</v>
      </c>
      <c r="I32" s="131" t="s">
        <v>528</v>
      </c>
      <c r="J32" s="135" t="s">
        <v>529</v>
      </c>
      <c r="M32" s="130"/>
      <c r="N32" s="90"/>
      <c r="P32" s="124"/>
      <c r="Q32" s="90"/>
    </row>
    <row r="33" spans="4:17" ht="18.75">
      <c r="E33" s="123" t="s">
        <v>530</v>
      </c>
      <c r="F33" s="131">
        <v>42</v>
      </c>
      <c r="G33" s="131" t="s">
        <v>493</v>
      </c>
      <c r="H33" s="131" t="s">
        <v>531</v>
      </c>
      <c r="I33" s="131" t="s">
        <v>532</v>
      </c>
      <c r="J33" s="135" t="s">
        <v>297</v>
      </c>
      <c r="M33" s="130"/>
      <c r="N33" s="90"/>
      <c r="P33" s="124"/>
      <c r="Q33" s="90"/>
    </row>
    <row r="34" spans="4:17" ht="18.75">
      <c r="E34" s="123" t="s">
        <v>533</v>
      </c>
      <c r="F34" s="131">
        <v>36</v>
      </c>
      <c r="G34" s="131" t="s">
        <v>493</v>
      </c>
      <c r="H34" s="131" t="s">
        <v>534</v>
      </c>
      <c r="I34" s="131" t="s">
        <v>535</v>
      </c>
      <c r="J34" s="135" t="s">
        <v>393</v>
      </c>
      <c r="M34" s="130"/>
      <c r="N34" s="90"/>
      <c r="P34" s="124"/>
      <c r="Q34" s="90"/>
    </row>
    <row r="35" spans="4:17" ht="18.75">
      <c r="E35" s="123" t="s">
        <v>464</v>
      </c>
      <c r="F35" s="131">
        <v>45</v>
      </c>
      <c r="G35" s="131"/>
      <c r="H35" s="131"/>
      <c r="I35" s="131"/>
      <c r="J35" s="135"/>
      <c r="M35" s="130"/>
      <c r="N35" s="90"/>
      <c r="P35" s="124"/>
      <c r="Q35" s="90"/>
    </row>
    <row r="36" spans="4:17" ht="18.75">
      <c r="E36" s="90" t="s">
        <v>536</v>
      </c>
      <c r="F36" s="131">
        <v>32</v>
      </c>
      <c r="G36" s="131"/>
      <c r="H36" s="131" t="s">
        <v>537</v>
      </c>
      <c r="I36" s="131">
        <v>7657601326</v>
      </c>
      <c r="J36" s="131" t="s">
        <v>487</v>
      </c>
      <c r="M36" s="130"/>
      <c r="N36" s="90"/>
      <c r="P36" s="124"/>
      <c r="Q36" s="90"/>
    </row>
    <row r="37" spans="4:17" ht="18.75">
      <c r="E37" s="123" t="s">
        <v>538</v>
      </c>
      <c r="F37" s="131">
        <v>45</v>
      </c>
      <c r="G37" s="131" t="s">
        <v>493</v>
      </c>
      <c r="H37" s="335" t="s">
        <v>539</v>
      </c>
      <c r="I37" s="131" t="s">
        <v>540</v>
      </c>
      <c r="J37" s="135" t="s">
        <v>504</v>
      </c>
      <c r="M37" s="130"/>
      <c r="N37" s="90"/>
      <c r="P37" s="298"/>
      <c r="Q37" s="158"/>
    </row>
    <row r="38" spans="4:17" ht="18.75">
      <c r="E38" s="123" t="s">
        <v>541</v>
      </c>
      <c r="F38" s="131">
        <v>42</v>
      </c>
      <c r="G38" s="131" t="s">
        <v>493</v>
      </c>
      <c r="H38" s="131" t="s">
        <v>542</v>
      </c>
      <c r="I38" s="131" t="s">
        <v>543</v>
      </c>
      <c r="J38" s="135" t="s">
        <v>297</v>
      </c>
      <c r="M38" s="130"/>
      <c r="N38" s="90"/>
      <c r="P38" s="90"/>
      <c r="Q38" s="90"/>
    </row>
    <row r="39" spans="4:17" ht="18.75">
      <c r="E39" s="123" t="s">
        <v>544</v>
      </c>
      <c r="F39" s="131">
        <v>48</v>
      </c>
      <c r="G39" s="131"/>
      <c r="H39" s="131" t="s">
        <v>545</v>
      </c>
      <c r="I39" s="131" t="s">
        <v>546</v>
      </c>
      <c r="J39" s="135" t="s">
        <v>484</v>
      </c>
      <c r="M39" s="130"/>
      <c r="N39" s="90"/>
      <c r="P39" s="90"/>
      <c r="Q39" s="90"/>
    </row>
    <row r="40" spans="4:17" ht="18.75">
      <c r="E40" s="123" t="s">
        <v>547</v>
      </c>
      <c r="F40" s="131">
        <v>48</v>
      </c>
      <c r="G40" s="131"/>
      <c r="H40" s="131" t="s">
        <v>548</v>
      </c>
      <c r="I40" s="131" t="s">
        <v>549</v>
      </c>
      <c r="J40" s="135" t="s">
        <v>484</v>
      </c>
      <c r="M40" s="130"/>
      <c r="N40" s="90"/>
      <c r="P40" s="90"/>
      <c r="Q40" s="90"/>
    </row>
    <row r="41" spans="4:17" ht="18.75">
      <c r="E41" s="358" t="s">
        <v>460</v>
      </c>
      <c r="F41" s="364">
        <v>52</v>
      </c>
      <c r="G41" s="364"/>
      <c r="H41" s="364"/>
      <c r="I41" s="364"/>
      <c r="J41" s="365"/>
      <c r="M41" s="130"/>
      <c r="N41" s="90"/>
      <c r="P41" s="90"/>
      <c r="Q41" s="90"/>
    </row>
    <row r="42" spans="4:17" ht="18.75">
      <c r="M42" s="130"/>
      <c r="N42" s="90"/>
      <c r="P42" s="90"/>
      <c r="Q42" s="90"/>
    </row>
    <row r="43" spans="4:17" ht="18.75">
      <c r="D43" s="95" t="s">
        <v>3</v>
      </c>
      <c r="E43" s="95" t="s">
        <v>130</v>
      </c>
      <c r="F43" s="95" t="s">
        <v>131</v>
      </c>
      <c r="G43" s="95" t="s">
        <v>132</v>
      </c>
      <c r="H43" s="95" t="s">
        <v>133</v>
      </c>
      <c r="M43" s="130"/>
      <c r="N43" s="90"/>
      <c r="P43" s="90"/>
      <c r="Q43" s="90"/>
    </row>
    <row r="44" spans="4:17" ht="18.75">
      <c r="D44" s="134">
        <v>45</v>
      </c>
      <c r="E44" s="131" t="str">
        <f>E4</f>
        <v>Timothy Murphy</v>
      </c>
      <c r="F44" s="131" t="str">
        <f>F4</f>
        <v>Harold Covington</v>
      </c>
      <c r="G44" s="133" t="str">
        <f>G4</f>
        <v>Lucas J Young</v>
      </c>
      <c r="H44" s="133">
        <f>H4</f>
        <v>0</v>
      </c>
      <c r="M44" s="130"/>
      <c r="N44" s="90"/>
      <c r="P44" s="90"/>
      <c r="Q44" s="90"/>
    </row>
    <row r="45" spans="4:17" ht="18.75">
      <c r="D45" s="134">
        <v>36</v>
      </c>
      <c r="E45" s="131" t="str">
        <f t="shared" ref="E45:H50" si="5">E5</f>
        <v xml:space="preserve">Justin Martinez </v>
      </c>
      <c r="F45" s="131">
        <f t="shared" si="5"/>
        <v>0</v>
      </c>
      <c r="G45" s="131" t="str">
        <f t="shared" si="5"/>
        <v xml:space="preserve">Derrick Black </v>
      </c>
      <c r="H45" s="131" t="str">
        <f t="shared" si="5"/>
        <v>Robert Bradford</v>
      </c>
      <c r="M45" s="130"/>
      <c r="N45" s="90"/>
      <c r="P45" s="90"/>
      <c r="Q45" s="90"/>
    </row>
    <row r="46" spans="4:17" ht="18.75">
      <c r="D46" s="134">
        <v>48</v>
      </c>
      <c r="E46" s="131" t="str">
        <f t="shared" si="5"/>
        <v>Tony Perry</v>
      </c>
      <c r="F46" s="131" t="str">
        <f t="shared" si="5"/>
        <v xml:space="preserve">Christopher Hill </v>
      </c>
      <c r="G46" s="131" t="str">
        <f t="shared" si="5"/>
        <v>Tyler Smith</v>
      </c>
      <c r="H46" s="131" t="str">
        <f t="shared" si="5"/>
        <v>Jared Lemert</v>
      </c>
      <c r="M46" s="130"/>
      <c r="N46" s="90"/>
      <c r="P46" s="90"/>
      <c r="Q46" s="90"/>
    </row>
    <row r="47" spans="4:17" ht="18.75">
      <c r="D47" s="134">
        <v>49</v>
      </c>
      <c r="E47" s="131" t="str">
        <f t="shared" si="5"/>
        <v xml:space="preserve">Mandrell Coretz </v>
      </c>
      <c r="F47" s="131" t="str">
        <f t="shared" si="5"/>
        <v>Joy Doran</v>
      </c>
      <c r="G47" s="131" t="str">
        <f t="shared" si="5"/>
        <v>Richard Balderas</v>
      </c>
      <c r="H47" s="132"/>
      <c r="M47" s="130"/>
      <c r="N47" s="90"/>
      <c r="P47" s="90"/>
      <c r="Q47" s="90"/>
    </row>
    <row r="48" spans="4:17" ht="18.75">
      <c r="D48" s="134">
        <v>32</v>
      </c>
      <c r="E48" s="131" t="str">
        <f t="shared" si="5"/>
        <v>Jaime Alvarado</v>
      </c>
      <c r="F48" s="131" t="str">
        <f t="shared" si="5"/>
        <v>Christian Decuire</v>
      </c>
      <c r="G48" s="131" t="str">
        <f t="shared" si="5"/>
        <v>Sam Houston</v>
      </c>
      <c r="H48" s="131" t="str">
        <f t="shared" si="5"/>
        <v>Christopher Hopson</v>
      </c>
      <c r="M48" s="130"/>
      <c r="N48" s="90"/>
      <c r="P48" s="90"/>
      <c r="Q48" s="90"/>
    </row>
    <row r="49" spans="4:17" ht="18.75">
      <c r="D49" s="134">
        <v>42</v>
      </c>
      <c r="E49" s="131" t="str">
        <f t="shared" si="5"/>
        <v>Timothy Rouse</v>
      </c>
      <c r="F49" s="131" t="str">
        <f t="shared" si="5"/>
        <v xml:space="preserve">Jacob Mullinax </v>
      </c>
      <c r="G49" s="131" t="str">
        <f t="shared" si="5"/>
        <v xml:space="preserve">Richard Russell </v>
      </c>
      <c r="H49" s="133" t="str">
        <f t="shared" si="5"/>
        <v>Jerry Rivas</v>
      </c>
      <c r="M49" s="130"/>
      <c r="N49" s="90"/>
      <c r="P49" s="90"/>
      <c r="Q49" s="90"/>
    </row>
    <row r="50" spans="4:17" ht="18.75">
      <c r="D50" s="134">
        <v>52</v>
      </c>
      <c r="E50" s="133" t="str">
        <f t="shared" si="5"/>
        <v>Xavier Aaron Addison</v>
      </c>
      <c r="F50" s="133" t="str">
        <f t="shared" si="5"/>
        <v>Rolando Rene Avitia</v>
      </c>
      <c r="G50" s="133" t="str">
        <f t="shared" si="5"/>
        <v>Benjamin  Zacatzontle</v>
      </c>
      <c r="H50" s="132"/>
      <c r="M50" s="130"/>
      <c r="N50" s="90"/>
      <c r="P50" s="90"/>
      <c r="Q50" s="90"/>
    </row>
    <row r="51" spans="4:17">
      <c r="D51" s="35"/>
      <c r="M51" s="90"/>
      <c r="N51" s="90"/>
      <c r="P51" s="90"/>
      <c r="Q51" s="90"/>
    </row>
    <row r="52" spans="4:17" ht="15.75" thickBot="1">
      <c r="M52" s="90"/>
      <c r="N52" s="90"/>
      <c r="P52" s="90"/>
      <c r="Q52" s="90"/>
    </row>
    <row r="53" spans="4:17">
      <c r="D53" s="593" t="s">
        <v>550</v>
      </c>
      <c r="E53" s="594"/>
      <c r="G53" s="593" t="s">
        <v>551</v>
      </c>
      <c r="H53" s="594"/>
      <c r="M53" s="90"/>
      <c r="N53" s="90"/>
      <c r="P53" s="90"/>
      <c r="Q53" s="90"/>
    </row>
    <row r="54" spans="4:17" ht="18" thickBot="1">
      <c r="D54" s="595" t="s">
        <v>552</v>
      </c>
      <c r="E54" s="596"/>
      <c r="G54" s="595" t="s">
        <v>553</v>
      </c>
      <c r="H54" s="596"/>
      <c r="M54" s="90"/>
      <c r="N54" s="90"/>
      <c r="P54" s="90"/>
      <c r="Q54" s="90"/>
    </row>
    <row r="55" spans="4:17" ht="17.25">
      <c r="D55" s="370">
        <v>1</v>
      </c>
      <c r="E55" s="371" t="s">
        <v>525</v>
      </c>
      <c r="G55" s="370">
        <v>1</v>
      </c>
      <c r="H55" s="371"/>
      <c r="M55" s="90"/>
      <c r="N55" s="90"/>
      <c r="P55" s="90"/>
      <c r="Q55" s="90"/>
    </row>
    <row r="56" spans="4:17" ht="17.25">
      <c r="D56" s="366">
        <f>D55+1</f>
        <v>2</v>
      </c>
      <c r="E56" s="367" t="s">
        <v>492</v>
      </c>
      <c r="G56" s="366">
        <f>G55+1</f>
        <v>2</v>
      </c>
      <c r="H56" s="367"/>
      <c r="M56" s="90"/>
      <c r="N56" s="90"/>
      <c r="P56" s="90"/>
      <c r="Q56" s="90"/>
    </row>
    <row r="57" spans="4:17" ht="17.25">
      <c r="D57" s="366">
        <f t="shared" ref="D57:D69" si="6">D56+1</f>
        <v>3</v>
      </c>
      <c r="E57" s="367" t="s">
        <v>498</v>
      </c>
      <c r="G57" s="366">
        <f t="shared" ref="G57:G69" si="7">G56+1</f>
        <v>3</v>
      </c>
      <c r="H57" s="367"/>
      <c r="M57" s="90"/>
      <c r="N57" s="90"/>
      <c r="P57" s="90"/>
      <c r="Q57" s="90"/>
    </row>
    <row r="58" spans="4:17" ht="17.25">
      <c r="D58" s="366">
        <f t="shared" si="6"/>
        <v>4</v>
      </c>
      <c r="E58" s="367" t="s">
        <v>501</v>
      </c>
      <c r="G58" s="366">
        <f t="shared" si="7"/>
        <v>4</v>
      </c>
      <c r="H58" s="367"/>
      <c r="M58" s="90"/>
      <c r="N58" s="90"/>
      <c r="P58" s="90"/>
      <c r="Q58" s="90"/>
    </row>
    <row r="59" spans="4:17" ht="17.25">
      <c r="D59" s="366">
        <f t="shared" si="6"/>
        <v>5</v>
      </c>
      <c r="E59" s="367" t="s">
        <v>505</v>
      </c>
      <c r="G59" s="366">
        <f t="shared" si="7"/>
        <v>5</v>
      </c>
      <c r="H59" s="367"/>
      <c r="M59" s="90"/>
      <c r="N59" s="90"/>
      <c r="P59" s="90"/>
      <c r="Q59" s="90"/>
    </row>
    <row r="60" spans="4:17" ht="17.25">
      <c r="D60" s="366">
        <f t="shared" si="6"/>
        <v>6</v>
      </c>
      <c r="E60" s="367" t="s">
        <v>511</v>
      </c>
      <c r="G60" s="366">
        <f t="shared" si="7"/>
        <v>6</v>
      </c>
      <c r="H60" s="367"/>
      <c r="M60" s="90"/>
      <c r="N60" s="90"/>
      <c r="P60" s="90"/>
      <c r="Q60" s="90"/>
    </row>
    <row r="61" spans="4:17" ht="17.25">
      <c r="D61" s="366">
        <f t="shared" si="6"/>
        <v>7</v>
      </c>
      <c r="E61" s="367" t="s">
        <v>455</v>
      </c>
      <c r="G61" s="366">
        <f t="shared" si="7"/>
        <v>7</v>
      </c>
      <c r="H61" s="367"/>
      <c r="M61" s="90"/>
      <c r="N61" s="90"/>
    </row>
    <row r="62" spans="4:17" ht="17.25">
      <c r="D62" s="366">
        <f t="shared" si="6"/>
        <v>8</v>
      </c>
      <c r="E62" s="367" t="s">
        <v>514</v>
      </c>
      <c r="G62" s="366">
        <f t="shared" si="7"/>
        <v>8</v>
      </c>
      <c r="H62" s="367"/>
    </row>
    <row r="63" spans="4:17" ht="17.25">
      <c r="D63" s="366">
        <f t="shared" si="6"/>
        <v>9</v>
      </c>
      <c r="E63" s="367" t="s">
        <v>518</v>
      </c>
      <c r="G63" s="366">
        <f t="shared" si="7"/>
        <v>9</v>
      </c>
      <c r="H63" s="367"/>
    </row>
    <row r="64" spans="4:17" ht="17.25">
      <c r="D64" s="366">
        <f t="shared" si="6"/>
        <v>10</v>
      </c>
      <c r="E64" s="367" t="s">
        <v>522</v>
      </c>
      <c r="G64" s="366">
        <f t="shared" si="7"/>
        <v>10</v>
      </c>
      <c r="H64" s="367"/>
    </row>
    <row r="65" spans="4:8" ht="17.25">
      <c r="D65" s="366">
        <f t="shared" si="6"/>
        <v>11</v>
      </c>
      <c r="E65" s="367" t="s">
        <v>530</v>
      </c>
      <c r="G65" s="366">
        <f t="shared" si="7"/>
        <v>11</v>
      </c>
      <c r="H65" s="367"/>
    </row>
    <row r="66" spans="4:8" ht="17.25">
      <c r="D66" s="366">
        <f t="shared" si="6"/>
        <v>12</v>
      </c>
      <c r="E66" s="367" t="s">
        <v>533</v>
      </c>
      <c r="G66" s="366">
        <f t="shared" si="7"/>
        <v>12</v>
      </c>
      <c r="H66" s="367"/>
    </row>
    <row r="67" spans="4:8" ht="17.25">
      <c r="D67" s="366">
        <f t="shared" si="6"/>
        <v>13</v>
      </c>
      <c r="E67" s="367" t="s">
        <v>538</v>
      </c>
      <c r="G67" s="366">
        <f t="shared" si="7"/>
        <v>13</v>
      </c>
      <c r="H67" s="367"/>
    </row>
    <row r="68" spans="4:8" ht="17.25">
      <c r="D68" s="366">
        <f t="shared" si="6"/>
        <v>14</v>
      </c>
      <c r="E68" s="367" t="s">
        <v>541</v>
      </c>
      <c r="G68" s="366">
        <f t="shared" si="7"/>
        <v>14</v>
      </c>
      <c r="H68" s="367"/>
    </row>
    <row r="69" spans="4:8" ht="18" thickBot="1">
      <c r="D69" s="368">
        <f t="shared" si="6"/>
        <v>15</v>
      </c>
      <c r="E69" s="369"/>
      <c r="G69" s="368">
        <f t="shared" si="7"/>
        <v>15</v>
      </c>
      <c r="H69" s="369"/>
    </row>
  </sheetData>
  <mergeCells count="7">
    <mergeCell ref="B1:H1"/>
    <mergeCell ref="D53:E53"/>
    <mergeCell ref="D54:E54"/>
    <mergeCell ref="G53:H53"/>
    <mergeCell ref="G54:H54"/>
    <mergeCell ref="E2:F2"/>
    <mergeCell ref="G2:H2"/>
  </mergeCells>
  <hyperlinks>
    <hyperlink ref="H37" r:id="rId1" xr:uid="{09A505CA-A6FE-41FC-8178-24847FD29145}"/>
    <hyperlink ref="H22" r:id="rId2" xr:uid="{D39FC892-BD17-47A8-AE91-889E2DAA3922}"/>
  </hyperlinks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F56C-C731-4270-80AE-93AC073C9CFB}">
  <sheetPr>
    <tabColor rgb="FFFFFF00"/>
    <pageSetUpPr fitToPage="1"/>
  </sheetPr>
  <dimension ref="A1:AA228"/>
  <sheetViews>
    <sheetView zoomScale="110" zoomScaleNormal="110" workbookViewId="0">
      <selection activeCell="A16" sqref="A16:A19"/>
    </sheetView>
  </sheetViews>
  <sheetFormatPr defaultRowHeight="15"/>
  <cols>
    <col min="1" max="1" width="19.85546875" customWidth="1"/>
    <col min="2" max="2" width="22.5703125" bestFit="1" customWidth="1"/>
    <col min="3" max="3" width="10.28515625" customWidth="1"/>
    <col min="4" max="4" width="11.7109375" bestFit="1" customWidth="1"/>
    <col min="5" max="5" width="32.85546875" bestFit="1" customWidth="1"/>
    <col min="6" max="6" width="32.42578125" bestFit="1" customWidth="1"/>
    <col min="7" max="7" width="38.140625" customWidth="1"/>
    <col min="8" max="8" width="11.85546875" customWidth="1"/>
    <col min="9" max="9" width="11" customWidth="1"/>
    <col min="11" max="11" width="12.140625" customWidth="1"/>
    <col min="14" max="14" width="34.7109375" customWidth="1"/>
    <col min="15" max="15" width="12.7109375" customWidth="1"/>
    <col min="16" max="16" width="3.28515625" customWidth="1"/>
    <col min="17" max="17" width="34.7109375" customWidth="1"/>
    <col min="18" max="18" width="12.7109375" customWidth="1"/>
    <col min="19" max="19" width="3" customWidth="1"/>
    <col min="20" max="20" width="34.7109375" customWidth="1"/>
    <col min="21" max="21" width="12.7109375" customWidth="1"/>
    <col min="22" max="22" width="3" customWidth="1"/>
    <col min="23" max="23" width="34.7109375" customWidth="1"/>
    <col min="24" max="24" width="12.7109375" customWidth="1"/>
    <col min="25" max="25" width="38.85546875" customWidth="1"/>
    <col min="27" max="27" width="14.85546875" bestFit="1" customWidth="1"/>
  </cols>
  <sheetData>
    <row r="1" spans="1:25" ht="19.5" thickBot="1">
      <c r="B1" s="1"/>
      <c r="C1" s="1"/>
      <c r="D1" s="1"/>
      <c r="E1" s="1"/>
      <c r="F1" s="1"/>
      <c r="G1" s="1"/>
      <c r="H1" s="2"/>
      <c r="I1" s="2"/>
      <c r="J1" s="2"/>
      <c r="K1" s="2"/>
    </row>
    <row r="2" spans="1:25" ht="30.75" thickBot="1">
      <c r="B2" s="3" t="s">
        <v>554</v>
      </c>
      <c r="C2" s="4" t="s">
        <v>5</v>
      </c>
      <c r="D2" s="5" t="s">
        <v>179</v>
      </c>
      <c r="E2" s="5" t="s">
        <v>356</v>
      </c>
      <c r="F2" s="5" t="s">
        <v>357</v>
      </c>
      <c r="G2" s="4" t="s">
        <v>237</v>
      </c>
      <c r="H2" s="6" t="s">
        <v>555</v>
      </c>
      <c r="I2" s="7" t="s">
        <v>556</v>
      </c>
      <c r="J2" s="8" t="s">
        <v>557</v>
      </c>
      <c r="K2" s="9" t="s">
        <v>309</v>
      </c>
      <c r="N2" s="323" t="s">
        <v>99</v>
      </c>
      <c r="O2" s="166" t="s">
        <v>100</v>
      </c>
      <c r="P2" s="286"/>
      <c r="Q2" s="324" t="s">
        <v>101</v>
      </c>
      <c r="R2" s="166" t="s">
        <v>102</v>
      </c>
      <c r="T2" s="323" t="s">
        <v>103</v>
      </c>
      <c r="U2" s="166" t="s">
        <v>100</v>
      </c>
      <c r="V2" s="286"/>
      <c r="W2" s="324" t="s">
        <v>104</v>
      </c>
      <c r="X2" s="166" t="s">
        <v>102</v>
      </c>
    </row>
    <row r="3" spans="1:25" ht="15.75" hidden="1" thickBot="1">
      <c r="A3" s="600" t="s">
        <v>558</v>
      </c>
      <c r="B3" s="10">
        <v>1</v>
      </c>
      <c r="C3" s="11">
        <v>2</v>
      </c>
      <c r="D3" s="377"/>
      <c r="E3" s="12"/>
      <c r="F3" s="13"/>
      <c r="G3" s="378"/>
      <c r="H3" s="15"/>
      <c r="I3" s="16"/>
      <c r="J3" s="17"/>
      <c r="K3" s="18">
        <f>Table1[[#This Row],[Room ]]</f>
        <v>1</v>
      </c>
      <c r="N3" s="295"/>
      <c r="O3" s="158"/>
      <c r="Q3" s="295"/>
      <c r="R3" s="158"/>
      <c r="T3" s="295"/>
      <c r="U3" s="158"/>
      <c r="W3" s="295"/>
      <c r="X3" s="158"/>
    </row>
    <row r="4" spans="1:25" ht="15.75" hidden="1" thickBot="1">
      <c r="A4" s="601"/>
      <c r="B4" s="10">
        <v>2</v>
      </c>
      <c r="C4" s="11">
        <v>3</v>
      </c>
      <c r="D4" s="377"/>
      <c r="E4" s="19"/>
      <c r="F4" s="20"/>
      <c r="G4" s="379"/>
      <c r="H4" s="21"/>
      <c r="I4" s="22"/>
      <c r="J4" s="23"/>
      <c r="K4" s="18">
        <f>Table1[[#This Row],[Room ]]</f>
        <v>2</v>
      </c>
      <c r="N4" s="296"/>
      <c r="O4" s="158"/>
      <c r="Q4" s="292"/>
      <c r="R4" s="158"/>
    </row>
    <row r="5" spans="1:25" ht="15.75" hidden="1" thickBot="1">
      <c r="A5" s="601"/>
      <c r="B5" s="10">
        <v>3</v>
      </c>
      <c r="C5" s="11">
        <v>2</v>
      </c>
      <c r="D5" s="377"/>
      <c r="E5" s="24"/>
      <c r="F5" s="20"/>
      <c r="G5" s="378"/>
      <c r="H5" s="21"/>
      <c r="I5" s="22"/>
      <c r="J5" s="23"/>
      <c r="K5" s="18">
        <f>Table1[[#This Row],[Room ]]</f>
        <v>3</v>
      </c>
      <c r="N5" s="296"/>
      <c r="O5" s="158"/>
      <c r="Q5" s="90"/>
      <c r="R5" s="90"/>
    </row>
    <row r="6" spans="1:25" ht="15.75" hidden="1" thickBot="1">
      <c r="A6" s="601"/>
      <c r="B6" s="25">
        <v>4</v>
      </c>
      <c r="C6" s="26">
        <v>2</v>
      </c>
      <c r="D6" s="377"/>
      <c r="E6" s="12"/>
      <c r="F6" s="27"/>
      <c r="G6" s="380"/>
      <c r="H6" s="28"/>
      <c r="I6" s="29"/>
      <c r="J6" s="30"/>
      <c r="K6" s="18">
        <f>Table1[[#This Row],[Room ]]</f>
        <v>4</v>
      </c>
      <c r="N6" s="296"/>
      <c r="O6" s="158"/>
      <c r="Q6" s="90"/>
      <c r="R6" s="90"/>
    </row>
    <row r="7" spans="1:25" ht="15.75" thickBot="1">
      <c r="A7" s="457" t="s">
        <v>559</v>
      </c>
      <c r="B7" s="31"/>
      <c r="C7" s="32"/>
      <c r="D7" s="32"/>
      <c r="E7" s="33"/>
      <c r="F7" s="34"/>
      <c r="G7" s="34"/>
      <c r="H7" s="381"/>
      <c r="I7" s="382"/>
      <c r="J7" s="383"/>
      <c r="K7" s="384"/>
      <c r="N7" s="296"/>
      <c r="O7" s="158"/>
      <c r="Q7" s="90"/>
      <c r="R7" s="90"/>
      <c r="Y7" s="35"/>
    </row>
    <row r="8" spans="1:25" ht="15" customHeight="1">
      <c r="A8" s="602" t="s">
        <v>560</v>
      </c>
      <c r="B8" s="36" t="s">
        <v>561</v>
      </c>
      <c r="C8" s="37">
        <v>2</v>
      </c>
      <c r="D8" s="385"/>
      <c r="E8" s="386" t="s">
        <v>562</v>
      </c>
      <c r="F8" s="38"/>
      <c r="G8" s="387"/>
      <c r="H8" s="39">
        <v>1</v>
      </c>
      <c r="I8" s="40">
        <f>COUNTA(Table1[[#This Row],[Bed 1]:[Bed 2]])</f>
        <v>1</v>
      </c>
      <c r="J8" s="41">
        <f>Table1[[#This Row],[Capacity]]-Table1[[#This Row],[Occupied]]</f>
        <v>1</v>
      </c>
      <c r="K8" s="18" t="str">
        <f>Table1[[#This Row],[Room ]]</f>
        <v>Top-Apt #1-1</v>
      </c>
      <c r="N8" s="298"/>
      <c r="O8" s="158"/>
      <c r="Q8" s="90"/>
      <c r="R8" s="90"/>
      <c r="Y8" s="35"/>
    </row>
    <row r="9" spans="1:25" ht="15.75" thickBot="1">
      <c r="A9" s="603"/>
      <c r="B9" s="10" t="s">
        <v>563</v>
      </c>
      <c r="C9" s="11">
        <v>2</v>
      </c>
      <c r="D9" s="46"/>
      <c r="E9" s="388"/>
      <c r="F9" s="44"/>
      <c r="G9" s="378"/>
      <c r="H9" s="21">
        <v>1</v>
      </c>
      <c r="I9" s="22">
        <f>COUNTA(Table1[[#This Row],[Bed 1]:[Bed 2]])</f>
        <v>0</v>
      </c>
      <c r="J9" s="23">
        <f>Table1[[#This Row],[Capacity]]-Table1[[#This Row],[Occupied]]</f>
        <v>2</v>
      </c>
      <c r="K9" s="18" t="str">
        <f>Table1[[#This Row],[Room ]]</f>
        <v>Apt #1 - 2</v>
      </c>
      <c r="N9" s="298"/>
      <c r="O9" s="158"/>
      <c r="Q9" s="90"/>
      <c r="R9" s="90"/>
      <c r="Y9" s="35"/>
    </row>
    <row r="10" spans="1:25">
      <c r="A10" s="603"/>
      <c r="B10" s="10" t="s">
        <v>564</v>
      </c>
      <c r="C10" s="11">
        <v>2</v>
      </c>
      <c r="D10" s="385"/>
      <c r="E10" s="42" t="s">
        <v>565</v>
      </c>
      <c r="F10" s="43" t="s">
        <v>566</v>
      </c>
      <c r="G10" s="389"/>
      <c r="H10" s="21">
        <v>1</v>
      </c>
      <c r="I10" s="22">
        <f>COUNTA(Table1[[#This Row],[Bed 1]:[Bed 2]])</f>
        <v>2</v>
      </c>
      <c r="J10" s="23">
        <f>Table1[[#This Row],[Capacity]]-Table1[[#This Row],[Occupied]]</f>
        <v>0</v>
      </c>
      <c r="K10" s="18" t="str">
        <f>Table1[[#This Row],[Room ]]</f>
        <v>Apt #2 - 1 - St</v>
      </c>
      <c r="N10" s="296"/>
      <c r="O10" s="158"/>
      <c r="Q10" s="90"/>
      <c r="R10" s="90"/>
      <c r="Y10" s="35"/>
    </row>
    <row r="11" spans="1:25" ht="15.75" thickBot="1">
      <c r="A11" s="603"/>
      <c r="B11" s="10" t="s">
        <v>567</v>
      </c>
      <c r="C11" s="11">
        <v>2</v>
      </c>
      <c r="D11" s="46"/>
      <c r="E11" s="388" t="s">
        <v>568</v>
      </c>
      <c r="F11" s="44" t="s">
        <v>569</v>
      </c>
      <c r="G11" s="378"/>
      <c r="H11" s="21">
        <v>1</v>
      </c>
      <c r="I11" s="22">
        <f>COUNTA(Table1[[#This Row],[Bed 1]:[Bed 2]])</f>
        <v>2</v>
      </c>
      <c r="J11" s="23">
        <f>Table1[[#This Row],[Capacity]]-Table1[[#This Row],[Occupied]]</f>
        <v>0</v>
      </c>
      <c r="K11" s="18" t="str">
        <f>Table1[[#This Row],[Room ]]</f>
        <v>Apt#2- 2 - St</v>
      </c>
      <c r="N11" s="296"/>
      <c r="O11" s="158"/>
      <c r="Q11" s="90"/>
      <c r="R11" s="90"/>
      <c r="Y11" s="35"/>
    </row>
    <row r="12" spans="1:25">
      <c r="A12" s="603"/>
      <c r="B12" s="10" t="s">
        <v>570</v>
      </c>
      <c r="C12" s="11">
        <v>2</v>
      </c>
      <c r="D12" s="385"/>
      <c r="E12" s="42" t="s">
        <v>571</v>
      </c>
      <c r="F12" s="43" t="s">
        <v>572</v>
      </c>
      <c r="G12" s="389"/>
      <c r="H12" s="21">
        <v>1</v>
      </c>
      <c r="I12" s="22">
        <f>COUNTA(Table1[[#This Row],[Bed 1]:[Bed 2]])</f>
        <v>2</v>
      </c>
      <c r="J12" s="23">
        <f>Table1[[#This Row],[Capacity]]-Table1[[#This Row],[Occupied]]</f>
        <v>0</v>
      </c>
      <c r="K12" s="18" t="str">
        <f>Table1[[#This Row],[Room ]]</f>
        <v>Apt #3 - 1</v>
      </c>
      <c r="N12" s="298"/>
      <c r="O12" s="158"/>
      <c r="Q12" s="90"/>
      <c r="R12" s="90"/>
      <c r="Y12" s="35"/>
    </row>
    <row r="13" spans="1:25" ht="15.75" thickBot="1">
      <c r="A13" s="603"/>
      <c r="B13" s="10" t="s">
        <v>573</v>
      </c>
      <c r="C13" s="11">
        <v>2</v>
      </c>
      <c r="D13" s="46"/>
      <c r="E13" s="388" t="s">
        <v>574</v>
      </c>
      <c r="F13" s="44" t="s">
        <v>575</v>
      </c>
      <c r="G13" s="378"/>
      <c r="H13" s="21">
        <v>1</v>
      </c>
      <c r="I13" s="22">
        <f>COUNTA(Table1[[#This Row],[Bed 1]:[Bed 2]])</f>
        <v>2</v>
      </c>
      <c r="J13" s="23">
        <f>Table1[[#This Row],[Capacity]]-Table1[[#This Row],[Occupied]]</f>
        <v>0</v>
      </c>
      <c r="K13" s="18" t="str">
        <f>Table1[[#This Row],[Room ]]</f>
        <v>Apt#3  - 2</v>
      </c>
      <c r="N13" s="298"/>
      <c r="O13" s="158"/>
      <c r="Q13" s="90"/>
      <c r="R13" s="90"/>
      <c r="Y13" s="35"/>
    </row>
    <row r="14" spans="1:25" ht="15.75" thickBot="1">
      <c r="A14" s="604"/>
      <c r="B14" s="45" t="s">
        <v>576</v>
      </c>
      <c r="C14" s="46">
        <v>1</v>
      </c>
      <c r="D14" s="377" t="s">
        <v>577</v>
      </c>
      <c r="E14" s="390"/>
      <c r="F14" s="47" t="s">
        <v>237</v>
      </c>
      <c r="G14" s="380"/>
      <c r="H14" s="28">
        <v>1</v>
      </c>
      <c r="I14" s="29">
        <f>COUNTA(Table1[[#This Row],[Bed 1]])</f>
        <v>0</v>
      </c>
      <c r="J14" s="48">
        <f>Table1[[#This Row],[Capacity]]-Table1[[#This Row],[Occupied]]</f>
        <v>1</v>
      </c>
      <c r="K14" s="18" t="str">
        <f>Table1[[#This Row],[Room ]]</f>
        <v>Basement</v>
      </c>
      <c r="N14" s="298"/>
      <c r="O14" s="158"/>
      <c r="Q14" s="124"/>
      <c r="R14" s="90"/>
      <c r="Y14" s="35"/>
    </row>
    <row r="15" spans="1:25" ht="15.75" thickBot="1">
      <c r="A15" s="457" t="s">
        <v>578</v>
      </c>
      <c r="B15" s="31"/>
      <c r="C15" s="32"/>
      <c r="D15" s="32"/>
      <c r="E15" s="34"/>
      <c r="F15" s="34"/>
      <c r="G15" s="34"/>
      <c r="H15" s="391"/>
      <c r="I15" s="392"/>
      <c r="J15" s="393"/>
      <c r="K15" s="394"/>
      <c r="N15" s="298"/>
      <c r="O15" s="158"/>
      <c r="Q15" s="124"/>
      <c r="R15" s="90"/>
      <c r="Y15" s="35"/>
    </row>
    <row r="16" spans="1:25">
      <c r="A16" s="605" t="s">
        <v>579</v>
      </c>
      <c r="B16" s="25" t="s">
        <v>580</v>
      </c>
      <c r="C16" s="395">
        <v>2</v>
      </c>
      <c r="D16">
        <v>1</v>
      </c>
      <c r="E16" s="396" t="s">
        <v>581</v>
      </c>
      <c r="F16" s="397" t="s">
        <v>582</v>
      </c>
      <c r="G16" s="398"/>
      <c r="H16" s="28"/>
      <c r="I16" s="29">
        <f>COUNTA(Table1[[#This Row],[Bed 1]:[Bed 2]])</f>
        <v>2</v>
      </c>
      <c r="J16" s="48">
        <f>Table1[[#This Row],[Capacity]]-Table1[[#This Row],[Occupied]]</f>
        <v>0</v>
      </c>
      <c r="K16" s="18" t="str">
        <f>Table1[[#This Row],[Room ]]</f>
        <v>West</v>
      </c>
      <c r="N16" s="298"/>
      <c r="O16" s="158"/>
      <c r="Q16" s="124"/>
      <c r="R16" s="90"/>
    </row>
    <row r="17" spans="1:25">
      <c r="A17" s="606"/>
      <c r="B17" s="25"/>
      <c r="C17" s="395">
        <v>2</v>
      </c>
      <c r="D17">
        <v>2</v>
      </c>
      <c r="E17" s="399" t="s">
        <v>583</v>
      </c>
      <c r="F17" s="396" t="s">
        <v>584</v>
      </c>
      <c r="G17" s="398"/>
      <c r="H17" s="28"/>
      <c r="I17" s="29">
        <f>COUNTA(Table1[[#This Row],[Bed 1]:[Bed 2]])</f>
        <v>2</v>
      </c>
      <c r="J17" s="48">
        <f>Table1[[#This Row],[Capacity]]-Table1[[#This Row],[Occupied]]</f>
        <v>0</v>
      </c>
      <c r="K17" s="18">
        <f>Table1[[#This Row],[Room ]]</f>
        <v>0</v>
      </c>
      <c r="N17" s="298"/>
      <c r="O17" s="158"/>
      <c r="Q17" s="124"/>
      <c r="R17" s="90"/>
    </row>
    <row r="18" spans="1:25">
      <c r="A18" s="606"/>
      <c r="B18" s="25" t="s">
        <v>585</v>
      </c>
      <c r="C18" s="395">
        <v>2</v>
      </c>
      <c r="D18">
        <v>1</v>
      </c>
      <c r="E18" s="400" t="s">
        <v>586</v>
      </c>
      <c r="F18" s="396" t="s">
        <v>587</v>
      </c>
      <c r="G18" s="398"/>
      <c r="H18" s="28"/>
      <c r="I18" s="29">
        <f>COUNTA(Table1[[#This Row],[Bed 1]:[Bed 2]])</f>
        <v>2</v>
      </c>
      <c r="J18" s="48">
        <f>Table1[[#This Row],[Capacity]]-Table1[[#This Row],[Occupied]]</f>
        <v>0</v>
      </c>
      <c r="K18" s="18" t="str">
        <f>Table1[[#This Row],[Room ]]</f>
        <v>East</v>
      </c>
      <c r="N18" s="298"/>
      <c r="O18" s="158"/>
      <c r="Q18" s="124"/>
      <c r="R18" s="90"/>
    </row>
    <row r="19" spans="1:25" ht="15.75" thickBot="1">
      <c r="A19" s="607"/>
      <c r="B19" s="25"/>
      <c r="C19" s="395">
        <v>2</v>
      </c>
      <c r="D19">
        <v>2</v>
      </c>
      <c r="E19" s="397" t="s">
        <v>588</v>
      </c>
      <c r="F19" s="397" t="s">
        <v>589</v>
      </c>
      <c r="G19" s="398"/>
      <c r="H19" s="28"/>
      <c r="I19" s="29">
        <f>COUNTA(Table1[[#This Row],[Bed 1]:[Bed 2]])</f>
        <v>2</v>
      </c>
      <c r="J19" s="48">
        <f>Table1[[#This Row],[Capacity]]-Table1[[#This Row],[Occupied]]</f>
        <v>0</v>
      </c>
      <c r="K19" s="18">
        <f>Table1[[#This Row],[Room ]]</f>
        <v>0</v>
      </c>
      <c r="N19" s="298"/>
      <c r="O19" s="158"/>
      <c r="Q19" s="124"/>
      <c r="R19" s="90"/>
    </row>
    <row r="20" spans="1:25" ht="15.75" thickBot="1">
      <c r="A20" s="457" t="s">
        <v>590</v>
      </c>
      <c r="B20" s="31"/>
      <c r="C20" s="32"/>
      <c r="D20" s="32"/>
      <c r="E20" s="34"/>
      <c r="F20" s="34"/>
      <c r="G20" s="34"/>
      <c r="H20" s="401"/>
      <c r="I20" s="402"/>
      <c r="J20" s="403"/>
      <c r="K20" s="404"/>
      <c r="N20" s="298"/>
      <c r="O20" s="158"/>
      <c r="Q20" s="124"/>
      <c r="R20" s="90"/>
    </row>
    <row r="21" spans="1:25">
      <c r="A21" s="598" t="s">
        <v>591</v>
      </c>
      <c r="B21" s="10" t="s">
        <v>592</v>
      </c>
      <c r="C21" s="405">
        <v>2</v>
      </c>
      <c r="D21" s="359">
        <v>1</v>
      </c>
      <c r="E21" s="406" t="s">
        <v>593</v>
      </c>
      <c r="F21" s="90"/>
      <c r="G21" s="407"/>
      <c r="H21" s="408">
        <f>COUNTA(Table1[[#This Row],[Bed 1]:[Bed 2]])</f>
        <v>1</v>
      </c>
      <c r="I21" s="408">
        <f ca="1">Table1[[#This Row],[Capacity]]-Table1[[#This Row],[Occupied]]</f>
        <v>2</v>
      </c>
      <c r="J21" s="408" t="str">
        <f>Table1[[#This Row],[Room ]]</f>
        <v>404 - 304</v>
      </c>
      <c r="K21" s="409"/>
      <c r="N21" s="298"/>
      <c r="O21" s="158"/>
      <c r="Q21" s="124"/>
      <c r="R21" s="90"/>
      <c r="Y21" s="35"/>
    </row>
    <row r="22" spans="1:25" ht="15.75" thickBot="1">
      <c r="A22" s="599"/>
      <c r="B22" s="25"/>
      <c r="C22" s="395">
        <v>2</v>
      </c>
      <c r="D22">
        <v>2</v>
      </c>
      <c r="E22" s="399" t="s">
        <v>594</v>
      </c>
      <c r="F22" s="359"/>
      <c r="G22" s="410"/>
      <c r="H22" s="263">
        <f>COUNTA(Table1[[#This Row],[Bed 1]:[Bed 2]])</f>
        <v>1</v>
      </c>
      <c r="I22" s="411">
        <f>COUNTA(Table1[[#This Row],[Bed 1]:[Bed 2]])</f>
        <v>1</v>
      </c>
      <c r="J22" s="411">
        <f>Table1[[#This Row],[Capacity]]-Table1[[#This Row],[Occupied]]</f>
        <v>1</v>
      </c>
      <c r="K22" s="18">
        <f>Table1[[#This Row],[Room ]]</f>
        <v>0</v>
      </c>
      <c r="N22" s="331"/>
      <c r="O22" s="158"/>
      <c r="Q22" s="298"/>
      <c r="R22" s="158"/>
    </row>
    <row r="23" spans="1:25">
      <c r="A23" s="598" t="s">
        <v>591</v>
      </c>
      <c r="B23" s="10" t="s">
        <v>595</v>
      </c>
      <c r="C23" s="405">
        <v>2</v>
      </c>
      <c r="D23">
        <v>1</v>
      </c>
      <c r="E23" s="90"/>
      <c r="F23" s="90"/>
      <c r="G23" s="412"/>
      <c r="H23" s="263">
        <f>COUNTA(Table1[[#This Row],[Bed 1]:[Bed 2]])</f>
        <v>0</v>
      </c>
      <c r="I23" s="263">
        <f>COUNTA(Table1[[#This Row],[Bed 1]:[Bed 2]])</f>
        <v>0</v>
      </c>
      <c r="J23" s="263">
        <f>Table1[[#This Row],[Capacity]]-Table1[[#This Row],[Occupied]]</f>
        <v>2</v>
      </c>
      <c r="K23" s="18" t="str">
        <f>Table1[[#This Row],[Room ]]</f>
        <v>410 - 205</v>
      </c>
      <c r="N23" s="331"/>
      <c r="O23" s="158"/>
      <c r="Q23" s="298"/>
      <c r="R23" s="158"/>
    </row>
    <row r="24" spans="1:25" ht="15.75" thickBot="1">
      <c r="A24" s="599"/>
      <c r="B24" s="10"/>
      <c r="C24" s="405">
        <v>2</v>
      </c>
      <c r="D24">
        <v>2</v>
      </c>
      <c r="E24" s="90"/>
      <c r="F24" s="90"/>
      <c r="G24" s="412"/>
      <c r="H24" s="263">
        <f>COUNTA(Table1[[#This Row],[Bed 1]:[Bed 2]])</f>
        <v>0</v>
      </c>
      <c r="I24" s="263">
        <f>COUNTA(Table1[[#This Row],[Bed 1]:[Bed 2]])</f>
        <v>0</v>
      </c>
      <c r="J24" s="263">
        <f>Table1[[#This Row],[Capacity]]-Table1[[#This Row],[Occupied]]</f>
        <v>2</v>
      </c>
      <c r="K24" s="18">
        <f>Table1[[#This Row],[Room ]]</f>
        <v>0</v>
      </c>
      <c r="N24" s="331"/>
      <c r="O24" s="158"/>
      <c r="Q24" s="298"/>
      <c r="R24" s="158"/>
    </row>
    <row r="25" spans="1:25">
      <c r="A25" s="598" t="s">
        <v>591</v>
      </c>
      <c r="B25" s="10" t="s">
        <v>596</v>
      </c>
      <c r="C25" s="405">
        <v>2</v>
      </c>
      <c r="D25">
        <v>1</v>
      </c>
      <c r="E25" s="90"/>
      <c r="F25" s="90"/>
      <c r="G25" s="412"/>
      <c r="H25" s="263">
        <f>COUNTA(Table1[[#This Row],[Bed 1]:[Bed 2]])</f>
        <v>0</v>
      </c>
      <c r="I25" s="263">
        <f>COUNTA(Table1[[#This Row],[Bed 1]:[Bed 2]])</f>
        <v>0</v>
      </c>
      <c r="J25" s="263">
        <f>Table1[[#This Row],[Capacity]]-Table1[[#This Row],[Occupied]]</f>
        <v>2</v>
      </c>
      <c r="K25" s="18" t="str">
        <f>Table1[[#This Row],[Room ]]</f>
        <v>410 - 304</v>
      </c>
      <c r="N25" s="331"/>
      <c r="O25" s="158"/>
      <c r="Q25" s="298"/>
      <c r="R25" s="158"/>
    </row>
    <row r="26" spans="1:25" ht="15.75" thickBot="1">
      <c r="A26" s="599"/>
      <c r="B26" s="10"/>
      <c r="C26" s="405">
        <v>2</v>
      </c>
      <c r="D26">
        <v>2</v>
      </c>
      <c r="E26" s="90"/>
      <c r="F26" s="90"/>
      <c r="G26" s="412"/>
      <c r="H26" s="263">
        <f>COUNTA(Table1[[#This Row],[Bed 1]:[Bed 2]])</f>
        <v>0</v>
      </c>
      <c r="I26" s="263">
        <f>COUNTA(Table1[[#This Row],[Bed 1]:[Bed 2]])</f>
        <v>0</v>
      </c>
      <c r="J26" s="263">
        <f>Table1[[#This Row],[Capacity]]-Table1[[#This Row],[Occupied]]</f>
        <v>2</v>
      </c>
      <c r="K26" s="18">
        <f>Table1[[#This Row],[Room ]]</f>
        <v>0</v>
      </c>
      <c r="N26" s="331"/>
      <c r="O26" s="158"/>
      <c r="Q26" s="298"/>
      <c r="R26" s="158"/>
    </row>
    <row r="27" spans="1:25">
      <c r="A27" s="598" t="s">
        <v>591</v>
      </c>
      <c r="B27" s="413" t="s">
        <v>597</v>
      </c>
      <c r="C27" s="405">
        <v>2</v>
      </c>
      <c r="D27">
        <v>1</v>
      </c>
      <c r="E27" s="90"/>
      <c r="F27" s="90"/>
      <c r="G27" s="412"/>
      <c r="H27" s="263">
        <f>COUNTA(Table1[[#This Row],[Bed 1]:[Bed 2]])</f>
        <v>0</v>
      </c>
      <c r="I27" s="263">
        <f>COUNTA(Table1[[#This Row],[Bed 1]:[Bed 2]])</f>
        <v>0</v>
      </c>
      <c r="J27" s="263">
        <f>Table1[[#This Row],[Capacity]]-Table1[[#This Row],[Occupied]]</f>
        <v>2</v>
      </c>
      <c r="K27" s="18" t="str">
        <f>Table1[[#This Row],[Room ]]</f>
        <v>406 - 204</v>
      </c>
      <c r="N27" s="331"/>
      <c r="O27" s="158"/>
      <c r="Q27" s="298"/>
      <c r="R27" s="158"/>
    </row>
    <row r="28" spans="1:25" ht="15.75" thickBot="1">
      <c r="A28" s="599"/>
      <c r="B28" s="10"/>
      <c r="C28" s="405">
        <v>2</v>
      </c>
      <c r="D28">
        <v>2</v>
      </c>
      <c r="E28" s="90"/>
      <c r="F28" s="90"/>
      <c r="G28" s="412"/>
      <c r="H28" s="263">
        <f>COUNTA(Table1[[#This Row],[Bed 1]:[Bed 2]])</f>
        <v>0</v>
      </c>
      <c r="I28" s="263">
        <f>COUNTA(Table1[[#This Row],[Bed 1]:[Bed 2]])</f>
        <v>0</v>
      </c>
      <c r="J28" s="263">
        <f>Table1[[#This Row],[Capacity]]-Table1[[#This Row],[Occupied]]</f>
        <v>2</v>
      </c>
      <c r="K28" s="18">
        <f>Table1[[#This Row],[Room ]]</f>
        <v>0</v>
      </c>
      <c r="N28" s="331"/>
      <c r="O28" s="158"/>
      <c r="Q28" s="298"/>
      <c r="R28" s="158"/>
    </row>
    <row r="29" spans="1:25">
      <c r="A29" s="598" t="s">
        <v>598</v>
      </c>
      <c r="B29" s="10" t="s">
        <v>599</v>
      </c>
      <c r="C29" s="405">
        <v>2</v>
      </c>
      <c r="D29">
        <v>1</v>
      </c>
      <c r="E29" s="376" t="s">
        <v>600</v>
      </c>
      <c r="F29" s="90"/>
      <c r="G29" s="412"/>
      <c r="H29" s="263">
        <f>COUNTA(Table1[[#This Row],[Bed 1]:[Bed 2]])</f>
        <v>1</v>
      </c>
      <c r="I29" s="263">
        <f>COUNTA(Table1[[#This Row],[Bed 1]:[Bed 2]])</f>
        <v>1</v>
      </c>
      <c r="J29" s="263">
        <f>Table1[[#This Row],[Capacity]]-Table1[[#This Row],[Occupied]]</f>
        <v>1</v>
      </c>
      <c r="K29" s="18" t="str">
        <f>Table1[[#This Row],[Room ]]</f>
        <v>406 - 205</v>
      </c>
      <c r="N29" s="331"/>
      <c r="O29" s="158"/>
      <c r="Q29" s="298"/>
      <c r="R29" s="158"/>
    </row>
    <row r="30" spans="1:25" ht="15.75" thickBot="1">
      <c r="A30" s="599"/>
      <c r="B30" s="10"/>
      <c r="C30" s="405">
        <v>2</v>
      </c>
      <c r="D30">
        <v>2</v>
      </c>
      <c r="E30" s="400" t="s">
        <v>601</v>
      </c>
      <c r="F30" s="90"/>
      <c r="G30" s="412"/>
      <c r="H30" s="263">
        <f>COUNTA(Table1[[#This Row],[Bed 1]:[Bed 2]])</f>
        <v>1</v>
      </c>
      <c r="I30" s="263">
        <f>COUNTA(Table1[[#This Row],[Bed 1]:[Bed 2]])</f>
        <v>1</v>
      </c>
      <c r="J30" s="263">
        <f>Table1[[#This Row],[Capacity]]-Table1[[#This Row],[Occupied]]</f>
        <v>1</v>
      </c>
      <c r="K30" s="18">
        <f>Table1[[#This Row],[Room ]]</f>
        <v>0</v>
      </c>
      <c r="N30" s="331"/>
      <c r="O30" s="158"/>
      <c r="Q30" s="298"/>
      <c r="R30" s="158"/>
    </row>
    <row r="31" spans="1:25">
      <c r="A31" s="598" t="s">
        <v>591</v>
      </c>
      <c r="B31" s="10" t="s">
        <v>602</v>
      </c>
      <c r="C31" s="405">
        <v>2</v>
      </c>
      <c r="D31">
        <v>1</v>
      </c>
      <c r="E31" s="406" t="s">
        <v>603</v>
      </c>
      <c r="F31" s="399" t="s">
        <v>604</v>
      </c>
      <c r="G31" s="412"/>
      <c r="H31" s="263">
        <f>COUNTA(Table1[[#This Row],[Bed 1]:[Bed 2]])</f>
        <v>2</v>
      </c>
      <c r="I31" s="263">
        <f>COUNTA(Table1[[#This Row],[Bed 1]:[Bed 2]])</f>
        <v>2</v>
      </c>
      <c r="J31" s="263">
        <f>Table1[[#This Row],[Capacity]]-Table1[[#This Row],[Occupied]]</f>
        <v>0</v>
      </c>
      <c r="K31" s="18" t="str">
        <f>Table1[[#This Row],[Room ]]</f>
        <v>406 - 302</v>
      </c>
      <c r="N31" s="331"/>
      <c r="O31" s="158"/>
      <c r="Q31" s="298"/>
      <c r="R31" s="158"/>
    </row>
    <row r="32" spans="1:25" ht="15.75" thickBot="1">
      <c r="A32" s="599"/>
      <c r="B32" s="25"/>
      <c r="C32" s="395">
        <v>2</v>
      </c>
      <c r="D32">
        <v>2</v>
      </c>
      <c r="E32" s="406" t="s">
        <v>605</v>
      </c>
      <c r="F32" s="399" t="s">
        <v>606</v>
      </c>
      <c r="G32" s="410"/>
      <c r="H32" s="274">
        <f>COUNTA(Table1[[#This Row],[Bed 1]:[Bed 2]])</f>
        <v>2</v>
      </c>
      <c r="I32" s="274">
        <f>COUNTA(Table1[[#This Row],[Bed 1]:[Bed 2]])</f>
        <v>2</v>
      </c>
      <c r="J32" s="274">
        <f>Table1[[#This Row],[Capacity]]-Table1[[#This Row],[Occupied]]</f>
        <v>0</v>
      </c>
      <c r="K32" s="414">
        <f>Table1[[#This Row],[Room ]]</f>
        <v>0</v>
      </c>
      <c r="N32" s="292"/>
      <c r="O32" s="158"/>
      <c r="Q32" s="124"/>
      <c r="R32" s="90"/>
    </row>
    <row r="33" spans="1:27" ht="15.75" thickBot="1">
      <c r="A33" s="49"/>
      <c r="B33" s="50"/>
      <c r="C33" s="51"/>
      <c r="D33" s="51"/>
      <c r="E33" s="52"/>
      <c r="F33" s="52"/>
      <c r="G33" s="415"/>
      <c r="H33" s="416"/>
      <c r="I33" s="417"/>
      <c r="J33" s="417"/>
      <c r="K33" s="418"/>
      <c r="N33" s="292"/>
      <c r="O33" s="158"/>
      <c r="Q33" s="124"/>
      <c r="R33" s="90"/>
      <c r="Y33" s="35"/>
    </row>
    <row r="34" spans="1:27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4"/>
      <c r="N34" s="292"/>
      <c r="O34" s="158"/>
      <c r="Q34" s="124"/>
      <c r="R34" s="90"/>
      <c r="Y34" s="35"/>
    </row>
    <row r="35" spans="1:27">
      <c r="B35" s="55"/>
      <c r="C35" s="55"/>
      <c r="D35" s="55"/>
      <c r="H35" s="56">
        <f>SUM(Table1[Room In use = 1                                      Empty = 0])</f>
        <v>15</v>
      </c>
      <c r="I35" s="56">
        <f ca="1">SUM(Table1[Occupied])</f>
        <v>24</v>
      </c>
      <c r="J35" s="57">
        <f>SUM(Table1[Capacity Available])</f>
        <v>19</v>
      </c>
      <c r="N35" s="296"/>
      <c r="O35" s="158"/>
      <c r="Q35" s="124"/>
      <c r="R35" s="90"/>
      <c r="Y35" s="35"/>
    </row>
    <row r="36" spans="1:27" ht="37.5" customHeight="1" thickBot="1">
      <c r="H36" s="419" t="s">
        <v>555</v>
      </c>
      <c r="I36" s="419" t="s">
        <v>556</v>
      </c>
      <c r="J36" s="59" t="s">
        <v>557</v>
      </c>
      <c r="N36" s="295"/>
      <c r="O36" s="158"/>
      <c r="Q36" s="124"/>
      <c r="R36" s="90"/>
    </row>
    <row r="37" spans="1:27">
      <c r="A37" s="420"/>
      <c r="B37" s="421" t="s">
        <v>178</v>
      </c>
      <c r="C37" s="422" t="s">
        <v>607</v>
      </c>
      <c r="D37" s="423" t="s">
        <v>608</v>
      </c>
      <c r="E37" s="423" t="s">
        <v>181</v>
      </c>
      <c r="F37" s="423" t="s">
        <v>182</v>
      </c>
      <c r="G37" s="423" t="s">
        <v>184</v>
      </c>
      <c r="H37" s="424" t="s">
        <v>183</v>
      </c>
      <c r="I37" s="425" t="s">
        <v>179</v>
      </c>
      <c r="N37" s="298"/>
      <c r="O37" s="158"/>
      <c r="Q37" s="298"/>
      <c r="R37" s="158"/>
      <c r="Y37" s="35"/>
      <c r="AA37" s="35"/>
    </row>
    <row r="38" spans="1:27">
      <c r="A38" s="426" t="s">
        <v>493</v>
      </c>
      <c r="B38" s="449" t="s">
        <v>572</v>
      </c>
      <c r="C38" s="427" t="s">
        <v>609</v>
      </c>
      <c r="D38" s="427"/>
      <c r="E38" s="427" t="s">
        <v>610</v>
      </c>
      <c r="F38" s="427" t="s">
        <v>611</v>
      </c>
      <c r="G38" s="427" t="s">
        <v>612</v>
      </c>
      <c r="H38" s="428" t="s">
        <v>613</v>
      </c>
      <c r="I38" s="429"/>
      <c r="Q38" s="35"/>
      <c r="R38" s="332"/>
    </row>
    <row r="39" spans="1:27">
      <c r="A39" s="430" t="s">
        <v>493</v>
      </c>
      <c r="B39" s="450" t="s">
        <v>562</v>
      </c>
      <c r="C39" s="442" t="s">
        <v>609</v>
      </c>
      <c r="D39" s="442"/>
      <c r="E39" s="442" t="s">
        <v>614</v>
      </c>
      <c r="F39" s="442" t="s">
        <v>615</v>
      </c>
      <c r="G39" s="442" t="s">
        <v>612</v>
      </c>
      <c r="H39" s="443" t="s">
        <v>616</v>
      </c>
      <c r="I39" s="444"/>
      <c r="Q39" s="35"/>
      <c r="R39" s="332"/>
    </row>
    <row r="40" spans="1:27">
      <c r="A40" s="430">
        <v>86</v>
      </c>
      <c r="B40" s="399" t="s">
        <v>617</v>
      </c>
      <c r="C40" s="431" t="s">
        <v>618</v>
      </c>
      <c r="D40" s="431" t="s">
        <v>602</v>
      </c>
      <c r="E40" s="431" t="s">
        <v>619</v>
      </c>
      <c r="F40" s="431" t="s">
        <v>620</v>
      </c>
      <c r="G40" s="431" t="s">
        <v>621</v>
      </c>
      <c r="H40" s="432" t="s">
        <v>622</v>
      </c>
      <c r="I40" s="433"/>
      <c r="Q40" s="35"/>
      <c r="R40" s="332"/>
    </row>
    <row r="41" spans="1:27">
      <c r="A41" s="430">
        <v>125</v>
      </c>
      <c r="B41" s="396" t="s">
        <v>623</v>
      </c>
      <c r="C41" s="438"/>
      <c r="D41" s="438"/>
      <c r="E41" s="438" t="s">
        <v>624</v>
      </c>
      <c r="F41" s="438" t="s">
        <v>625</v>
      </c>
      <c r="G41" s="438" t="s">
        <v>626</v>
      </c>
      <c r="H41" s="439" t="s">
        <v>627</v>
      </c>
      <c r="I41" s="440"/>
      <c r="Q41" s="35"/>
      <c r="R41" s="332"/>
    </row>
    <row r="42" spans="1:27">
      <c r="A42" s="430">
        <v>86</v>
      </c>
      <c r="B42" s="399" t="s">
        <v>628</v>
      </c>
      <c r="C42" s="431" t="s">
        <v>618</v>
      </c>
      <c r="D42" s="431" t="s">
        <v>629</v>
      </c>
      <c r="E42" s="431" t="s">
        <v>630</v>
      </c>
      <c r="F42" s="431" t="s">
        <v>631</v>
      </c>
      <c r="G42" s="431" t="s">
        <v>632</v>
      </c>
      <c r="H42" s="432" t="s">
        <v>633</v>
      </c>
      <c r="I42" s="433"/>
      <c r="Q42" s="35"/>
      <c r="R42" s="332"/>
    </row>
    <row r="43" spans="1:27">
      <c r="A43" s="430">
        <v>0</v>
      </c>
      <c r="B43" s="397" t="s">
        <v>634</v>
      </c>
      <c r="C43" s="446" t="s">
        <v>635</v>
      </c>
      <c r="D43" s="446" t="s">
        <v>635</v>
      </c>
      <c r="E43" s="446" t="s">
        <v>636</v>
      </c>
      <c r="F43" s="446" t="s">
        <v>637</v>
      </c>
      <c r="G43" s="446" t="s">
        <v>621</v>
      </c>
      <c r="H43" s="447" t="s">
        <v>210</v>
      </c>
      <c r="I43" s="448"/>
      <c r="J43" s="437"/>
      <c r="Q43" s="35"/>
      <c r="R43" s="332"/>
    </row>
    <row r="44" spans="1:27">
      <c r="A44" s="430">
        <v>125</v>
      </c>
      <c r="B44" s="451" t="s">
        <v>574</v>
      </c>
      <c r="C44" s="431" t="s">
        <v>609</v>
      </c>
      <c r="D44" s="431"/>
      <c r="E44" s="431" t="s">
        <v>638</v>
      </c>
      <c r="F44" s="431" t="s">
        <v>639</v>
      </c>
      <c r="G44" s="431" t="s">
        <v>632</v>
      </c>
      <c r="H44" s="432" t="s">
        <v>640</v>
      </c>
      <c r="I44" s="433"/>
      <c r="Q44" s="35"/>
      <c r="R44" s="332"/>
    </row>
    <row r="45" spans="1:27">
      <c r="A45" s="430">
        <v>86</v>
      </c>
      <c r="B45" s="441" t="s">
        <v>641</v>
      </c>
      <c r="C45" s="442"/>
      <c r="D45" s="442"/>
      <c r="E45" s="442" t="s">
        <v>642</v>
      </c>
      <c r="F45" s="442" t="s">
        <v>643</v>
      </c>
      <c r="G45" s="442" t="s">
        <v>644</v>
      </c>
      <c r="H45" s="443" t="s">
        <v>645</v>
      </c>
      <c r="I45" s="444"/>
      <c r="Q45" s="35"/>
      <c r="R45" s="332"/>
    </row>
    <row r="46" spans="1:27">
      <c r="A46" s="430"/>
      <c r="B46" s="399" t="s">
        <v>583</v>
      </c>
      <c r="C46" s="431" t="s">
        <v>646</v>
      </c>
      <c r="D46" s="431"/>
      <c r="E46" s="431" t="s">
        <v>647</v>
      </c>
      <c r="F46" s="431" t="s">
        <v>648</v>
      </c>
      <c r="G46" s="431" t="s">
        <v>649</v>
      </c>
      <c r="H46" s="432" t="s">
        <v>650</v>
      </c>
      <c r="I46" s="433"/>
      <c r="Q46" s="35"/>
      <c r="R46" s="332"/>
    </row>
    <row r="47" spans="1:27">
      <c r="A47" s="430"/>
      <c r="B47" s="441" t="s">
        <v>651</v>
      </c>
      <c r="C47" s="442" t="s">
        <v>618</v>
      </c>
      <c r="D47" s="442" t="s">
        <v>629</v>
      </c>
      <c r="E47" s="442" t="s">
        <v>652</v>
      </c>
      <c r="F47" s="442" t="s">
        <v>653</v>
      </c>
      <c r="G47" s="442" t="s">
        <v>654</v>
      </c>
      <c r="H47" s="443" t="s">
        <v>655</v>
      </c>
      <c r="I47" s="444"/>
      <c r="Q47" s="35"/>
      <c r="R47" s="332"/>
    </row>
    <row r="48" spans="1:27">
      <c r="A48" s="430"/>
      <c r="B48" s="449" t="s">
        <v>571</v>
      </c>
      <c r="C48" s="427" t="s">
        <v>609</v>
      </c>
      <c r="D48" s="427"/>
      <c r="E48" s="427" t="s">
        <v>656</v>
      </c>
      <c r="F48" s="427" t="s">
        <v>657</v>
      </c>
      <c r="G48" s="427" t="s">
        <v>612</v>
      </c>
      <c r="H48" s="428" t="s">
        <v>616</v>
      </c>
      <c r="I48" s="429"/>
      <c r="Q48" s="35"/>
      <c r="R48" s="332"/>
    </row>
    <row r="49" spans="1:18">
      <c r="A49" s="430"/>
      <c r="B49" s="399" t="s">
        <v>594</v>
      </c>
      <c r="C49" s="431" t="s">
        <v>618</v>
      </c>
      <c r="D49" s="431" t="s">
        <v>592</v>
      </c>
      <c r="E49" s="431" t="s">
        <v>658</v>
      </c>
      <c r="F49" s="431" t="s">
        <v>659</v>
      </c>
      <c r="G49" s="431" t="s">
        <v>632</v>
      </c>
      <c r="H49" s="432" t="s">
        <v>633</v>
      </c>
      <c r="I49" s="433"/>
      <c r="J49" s="437"/>
      <c r="Q49" s="35"/>
      <c r="R49" s="332"/>
    </row>
    <row r="50" spans="1:18">
      <c r="A50" s="430"/>
      <c r="B50" s="396" t="s">
        <v>660</v>
      </c>
      <c r="C50" s="438" t="s">
        <v>618</v>
      </c>
      <c r="D50" s="438" t="s">
        <v>602</v>
      </c>
      <c r="E50" s="438" t="s">
        <v>661</v>
      </c>
      <c r="F50" s="438" t="s">
        <v>662</v>
      </c>
      <c r="G50" s="438" t="s">
        <v>626</v>
      </c>
      <c r="H50" s="439" t="s">
        <v>663</v>
      </c>
      <c r="I50" s="440"/>
      <c r="Q50" s="35"/>
      <c r="R50" s="332"/>
    </row>
    <row r="51" spans="1:18">
      <c r="A51" s="430"/>
      <c r="B51" s="399" t="s">
        <v>664</v>
      </c>
      <c r="C51" s="431" t="s">
        <v>618</v>
      </c>
      <c r="D51" s="431" t="s">
        <v>597</v>
      </c>
      <c r="E51" s="431" t="s">
        <v>665</v>
      </c>
      <c r="F51" s="431" t="s">
        <v>666</v>
      </c>
      <c r="G51" s="431" t="s">
        <v>621</v>
      </c>
      <c r="H51" s="432" t="s">
        <v>622</v>
      </c>
      <c r="I51" s="433"/>
      <c r="Q51" s="35"/>
      <c r="R51" s="332"/>
    </row>
    <row r="52" spans="1:18">
      <c r="A52" s="430"/>
      <c r="B52" s="441" t="s">
        <v>667</v>
      </c>
      <c r="C52" s="442" t="s">
        <v>618</v>
      </c>
      <c r="D52" s="442" t="s">
        <v>595</v>
      </c>
      <c r="E52" s="442" t="s">
        <v>668</v>
      </c>
      <c r="F52" s="442" t="s">
        <v>669</v>
      </c>
      <c r="G52" s="442" t="s">
        <v>644</v>
      </c>
      <c r="H52" s="443" t="s">
        <v>645</v>
      </c>
      <c r="I52" s="444"/>
      <c r="Q52" s="35"/>
      <c r="R52" s="332"/>
    </row>
    <row r="53" spans="1:18">
      <c r="A53" s="430"/>
      <c r="B53" s="449" t="s">
        <v>565</v>
      </c>
      <c r="C53" s="427" t="s">
        <v>609</v>
      </c>
      <c r="D53" s="427"/>
      <c r="E53" s="427" t="s">
        <v>670</v>
      </c>
      <c r="F53" s="427" t="s">
        <v>671</v>
      </c>
      <c r="G53" s="427" t="s">
        <v>612</v>
      </c>
      <c r="H53" s="428" t="s">
        <v>207</v>
      </c>
      <c r="I53" s="429"/>
      <c r="Q53" s="35"/>
    </row>
    <row r="54" spans="1:18">
      <c r="A54" s="430"/>
      <c r="B54" s="397" t="s">
        <v>588</v>
      </c>
      <c r="C54" s="446" t="s">
        <v>646</v>
      </c>
      <c r="D54" s="446"/>
      <c r="E54" s="446" t="s">
        <v>672</v>
      </c>
      <c r="F54" s="446" t="s">
        <v>673</v>
      </c>
      <c r="G54" s="446" t="s">
        <v>649</v>
      </c>
      <c r="H54" s="447" t="s">
        <v>650</v>
      </c>
      <c r="I54" s="448"/>
    </row>
    <row r="55" spans="1:18">
      <c r="A55" s="430"/>
      <c r="B55" s="399" t="s">
        <v>606</v>
      </c>
      <c r="C55" s="431" t="s">
        <v>618</v>
      </c>
      <c r="D55" s="431" t="s">
        <v>602</v>
      </c>
      <c r="E55" s="431" t="s">
        <v>674</v>
      </c>
      <c r="F55" s="431" t="s">
        <v>675</v>
      </c>
      <c r="G55" s="431" t="s">
        <v>621</v>
      </c>
      <c r="H55" s="432" t="s">
        <v>622</v>
      </c>
      <c r="I55" s="433"/>
      <c r="Q55" s="35"/>
    </row>
    <row r="56" spans="1:18">
      <c r="A56" s="430"/>
      <c r="B56" s="397" t="s">
        <v>589</v>
      </c>
      <c r="C56" s="446" t="s">
        <v>646</v>
      </c>
      <c r="D56" s="446"/>
      <c r="E56" s="446" t="s">
        <v>676</v>
      </c>
      <c r="F56" s="446" t="s">
        <v>677</v>
      </c>
      <c r="G56" s="446" t="s">
        <v>649</v>
      </c>
      <c r="H56" s="447" t="s">
        <v>650</v>
      </c>
      <c r="I56" s="448"/>
      <c r="Q56" s="35"/>
    </row>
    <row r="57" spans="1:18">
      <c r="A57" s="430"/>
      <c r="B57" s="400" t="s">
        <v>601</v>
      </c>
      <c r="C57" s="434" t="s">
        <v>618</v>
      </c>
      <c r="D57" s="434" t="s">
        <v>599</v>
      </c>
      <c r="E57" s="434" t="s">
        <v>678</v>
      </c>
      <c r="F57" s="434" t="s">
        <v>679</v>
      </c>
      <c r="G57" s="434" t="s">
        <v>680</v>
      </c>
      <c r="H57" s="435" t="s">
        <v>210</v>
      </c>
      <c r="I57" s="436"/>
      <c r="Q57" s="35"/>
    </row>
    <row r="58" spans="1:18">
      <c r="A58" s="430"/>
      <c r="B58" s="397" t="s">
        <v>681</v>
      </c>
      <c r="C58" s="446"/>
      <c r="D58" s="446"/>
      <c r="E58" s="446" t="s">
        <v>682</v>
      </c>
      <c r="F58" s="446" t="s">
        <v>683</v>
      </c>
      <c r="G58" s="446" t="s">
        <v>621</v>
      </c>
      <c r="H58" s="447" t="s">
        <v>622</v>
      </c>
      <c r="I58" s="448"/>
    </row>
    <row r="59" spans="1:18">
      <c r="A59" s="430"/>
      <c r="B59" s="406" t="s">
        <v>593</v>
      </c>
      <c r="C59" s="427" t="s">
        <v>618</v>
      </c>
      <c r="D59" s="427" t="s">
        <v>592</v>
      </c>
      <c r="E59" s="427" t="s">
        <v>684</v>
      </c>
      <c r="F59" s="427" t="s">
        <v>685</v>
      </c>
      <c r="G59" s="427" t="s">
        <v>644</v>
      </c>
      <c r="H59" s="428" t="s">
        <v>645</v>
      </c>
      <c r="I59" s="429"/>
    </row>
    <row r="60" spans="1:18">
      <c r="A60" s="430"/>
      <c r="B60" s="396" t="s">
        <v>584</v>
      </c>
      <c r="C60" s="438" t="s">
        <v>646</v>
      </c>
      <c r="D60" s="438"/>
      <c r="E60" s="438" t="s">
        <v>686</v>
      </c>
      <c r="F60" s="438" t="s">
        <v>687</v>
      </c>
      <c r="G60" s="438" t="s">
        <v>688</v>
      </c>
      <c r="H60" s="439" t="s">
        <v>650</v>
      </c>
      <c r="I60" s="440"/>
    </row>
    <row r="61" spans="1:18">
      <c r="A61" s="430"/>
      <c r="B61" s="400" t="s">
        <v>586</v>
      </c>
      <c r="C61" s="434" t="s">
        <v>646</v>
      </c>
      <c r="D61" s="434"/>
      <c r="E61" s="434" t="s">
        <v>689</v>
      </c>
      <c r="F61" s="434" t="s">
        <v>690</v>
      </c>
      <c r="G61" s="434" t="s">
        <v>688</v>
      </c>
      <c r="H61" s="435" t="s">
        <v>650</v>
      </c>
      <c r="I61" s="436"/>
    </row>
    <row r="62" spans="1:18">
      <c r="A62" s="430"/>
      <c r="B62" s="396" t="s">
        <v>587</v>
      </c>
      <c r="C62" s="438" t="s">
        <v>646</v>
      </c>
      <c r="D62" s="438"/>
      <c r="E62" s="438" t="s">
        <v>691</v>
      </c>
      <c r="F62" s="438" t="s">
        <v>692</v>
      </c>
      <c r="G62" s="438" t="s">
        <v>688</v>
      </c>
      <c r="H62" s="439" t="s">
        <v>650</v>
      </c>
      <c r="I62" s="440"/>
    </row>
    <row r="63" spans="1:18">
      <c r="A63" s="430"/>
      <c r="B63" s="406" t="s">
        <v>603</v>
      </c>
      <c r="C63" s="427" t="s">
        <v>618</v>
      </c>
      <c r="D63" s="427" t="s">
        <v>602</v>
      </c>
      <c r="E63" s="427" t="s">
        <v>693</v>
      </c>
      <c r="F63" s="427" t="s">
        <v>694</v>
      </c>
      <c r="G63" s="427" t="s">
        <v>644</v>
      </c>
      <c r="H63" s="428" t="s">
        <v>622</v>
      </c>
      <c r="I63" s="429"/>
    </row>
    <row r="64" spans="1:18">
      <c r="A64" s="430"/>
      <c r="B64" s="397" t="s">
        <v>695</v>
      </c>
      <c r="C64" s="446"/>
      <c r="D64" s="446"/>
      <c r="E64" s="446" t="s">
        <v>696</v>
      </c>
      <c r="F64" s="446" t="s">
        <v>697</v>
      </c>
      <c r="G64" s="446" t="s">
        <v>621</v>
      </c>
      <c r="H64" s="447" t="s">
        <v>622</v>
      </c>
      <c r="I64" s="448"/>
    </row>
    <row r="65" spans="1:9">
      <c r="A65" s="430"/>
      <c r="B65" s="406" t="s">
        <v>605</v>
      </c>
      <c r="C65" s="427" t="s">
        <v>618</v>
      </c>
      <c r="D65" s="427" t="s">
        <v>602</v>
      </c>
      <c r="E65" s="427" t="s">
        <v>698</v>
      </c>
      <c r="F65" s="427" t="s">
        <v>699</v>
      </c>
      <c r="G65" s="427" t="s">
        <v>654</v>
      </c>
      <c r="H65" s="428" t="s">
        <v>210</v>
      </c>
      <c r="I65" s="429"/>
    </row>
    <row r="66" spans="1:9">
      <c r="A66" s="430"/>
      <c r="B66" s="450" t="s">
        <v>700</v>
      </c>
      <c r="C66" s="442" t="s">
        <v>609</v>
      </c>
      <c r="D66" s="442"/>
      <c r="E66" s="442" t="s">
        <v>701</v>
      </c>
      <c r="F66" s="442" t="s">
        <v>702</v>
      </c>
      <c r="G66" s="442" t="s">
        <v>612</v>
      </c>
      <c r="H66" s="443" t="s">
        <v>703</v>
      </c>
      <c r="I66" s="444"/>
    </row>
    <row r="67" spans="1:9">
      <c r="A67" s="430"/>
      <c r="B67" s="449" t="s">
        <v>575</v>
      </c>
      <c r="C67" s="427" t="s">
        <v>609</v>
      </c>
      <c r="D67" s="427"/>
      <c r="E67" s="427" t="s">
        <v>704</v>
      </c>
      <c r="F67" s="427" t="s">
        <v>705</v>
      </c>
      <c r="G67" s="427" t="s">
        <v>612</v>
      </c>
      <c r="H67" s="428" t="s">
        <v>616</v>
      </c>
      <c r="I67" s="429"/>
    </row>
    <row r="68" spans="1:9">
      <c r="A68" s="430"/>
      <c r="B68" s="441" t="s">
        <v>706</v>
      </c>
      <c r="C68" s="442" t="s">
        <v>618</v>
      </c>
      <c r="D68" s="442" t="s">
        <v>595</v>
      </c>
      <c r="E68" s="445" t="s">
        <v>707</v>
      </c>
      <c r="F68" s="442" t="s">
        <v>708</v>
      </c>
      <c r="G68" s="442" t="s">
        <v>644</v>
      </c>
      <c r="H68" s="443" t="s">
        <v>645</v>
      </c>
      <c r="I68" s="444"/>
    </row>
    <row r="69" spans="1:9">
      <c r="A69" s="430"/>
      <c r="B69" s="449" t="s">
        <v>566</v>
      </c>
      <c r="C69" s="427" t="s">
        <v>609</v>
      </c>
      <c r="D69" s="427"/>
      <c r="E69" s="427" t="s">
        <v>709</v>
      </c>
      <c r="F69" s="427" t="s">
        <v>710</v>
      </c>
      <c r="G69" s="427" t="s">
        <v>612</v>
      </c>
      <c r="H69" s="428" t="s">
        <v>207</v>
      </c>
      <c r="I69" s="429"/>
    </row>
    <row r="70" spans="1:9">
      <c r="A70" s="430"/>
      <c r="B70" s="397" t="s">
        <v>582</v>
      </c>
      <c r="C70" s="446" t="s">
        <v>646</v>
      </c>
      <c r="D70" s="446"/>
      <c r="E70" s="446" t="s">
        <v>711</v>
      </c>
      <c r="F70" s="446" t="s">
        <v>712</v>
      </c>
      <c r="G70" s="446" t="s">
        <v>649</v>
      </c>
      <c r="H70" s="447" t="s">
        <v>496</v>
      </c>
      <c r="I70" s="448"/>
    </row>
    <row r="71" spans="1:9">
      <c r="A71" s="430"/>
      <c r="B71" s="452" t="s">
        <v>568</v>
      </c>
      <c r="C71" s="434" t="s">
        <v>609</v>
      </c>
      <c r="D71" s="434"/>
      <c r="E71" s="434" t="s">
        <v>713</v>
      </c>
      <c r="F71" s="434" t="s">
        <v>714</v>
      </c>
      <c r="G71" s="434" t="s">
        <v>626</v>
      </c>
      <c r="H71" s="435" t="s">
        <v>715</v>
      </c>
      <c r="I71" s="436"/>
    </row>
    <row r="72" spans="1:9">
      <c r="A72" s="430"/>
      <c r="B72" s="397" t="s">
        <v>716</v>
      </c>
      <c r="C72" s="446" t="s">
        <v>618</v>
      </c>
      <c r="D72" s="446" t="s">
        <v>595</v>
      </c>
      <c r="E72" s="446" t="s">
        <v>717</v>
      </c>
      <c r="F72" s="446" t="s">
        <v>718</v>
      </c>
      <c r="G72" s="446" t="s">
        <v>621</v>
      </c>
      <c r="H72" s="447" t="s">
        <v>622</v>
      </c>
      <c r="I72" s="448"/>
    </row>
    <row r="73" spans="1:9">
      <c r="A73" s="430"/>
      <c r="B73" s="406" t="s">
        <v>719</v>
      </c>
      <c r="C73" s="427" t="s">
        <v>618</v>
      </c>
      <c r="D73" s="427" t="s">
        <v>629</v>
      </c>
      <c r="E73" s="427" t="s">
        <v>720</v>
      </c>
      <c r="F73" s="427" t="s">
        <v>721</v>
      </c>
      <c r="G73" s="427" t="s">
        <v>654</v>
      </c>
      <c r="H73" s="428" t="s">
        <v>655</v>
      </c>
      <c r="I73" s="429"/>
    </row>
    <row r="74" spans="1:9">
      <c r="A74" s="430"/>
      <c r="B74" s="396" t="s">
        <v>581</v>
      </c>
      <c r="C74" s="438" t="s">
        <v>646</v>
      </c>
      <c r="D74" s="438"/>
      <c r="E74" s="438" t="s">
        <v>722</v>
      </c>
      <c r="F74" s="438" t="s">
        <v>723</v>
      </c>
      <c r="G74" s="438" t="s">
        <v>680</v>
      </c>
      <c r="H74" s="439" t="s">
        <v>393</v>
      </c>
      <c r="I74" s="440"/>
    </row>
    <row r="75" spans="1:9">
      <c r="A75" s="430"/>
      <c r="B75" s="453"/>
      <c r="C75" s="454"/>
      <c r="D75" s="454"/>
      <c r="E75" s="454"/>
      <c r="F75" s="454"/>
      <c r="G75" s="454"/>
      <c r="H75" s="455"/>
      <c r="I75" s="456"/>
    </row>
    <row r="79" spans="1:9">
      <c r="B79" s="438" t="s">
        <v>724</v>
      </c>
      <c r="C79" s="438" t="s">
        <v>609</v>
      </c>
      <c r="D79" s="438"/>
      <c r="E79" s="438" t="s">
        <v>725</v>
      </c>
      <c r="F79" s="438" t="s">
        <v>726</v>
      </c>
      <c r="G79" s="438" t="s">
        <v>626</v>
      </c>
      <c r="H79" s="439" t="s">
        <v>627</v>
      </c>
      <c r="I79" s="439"/>
    </row>
    <row r="193" spans="6:17" ht="30.75" thickBot="1">
      <c r="F193" s="58" t="s">
        <v>727</v>
      </c>
    </row>
    <row r="194" spans="6:17" ht="21.75" thickBot="1">
      <c r="F194" s="619" t="s">
        <v>728</v>
      </c>
      <c r="G194" s="620"/>
      <c r="H194" s="60" t="s">
        <v>729</v>
      </c>
      <c r="I194" s="61" t="s">
        <v>730</v>
      </c>
    </row>
    <row r="195" spans="6:17" ht="15.75">
      <c r="F195" s="593" t="s">
        <v>731</v>
      </c>
      <c r="G195" s="594"/>
      <c r="H195" s="62" t="s">
        <v>732</v>
      </c>
      <c r="I195" s="63" t="s">
        <v>733</v>
      </c>
    </row>
    <row r="196" spans="6:17" ht="18" thickBot="1">
      <c r="F196" s="595" t="s">
        <v>734</v>
      </c>
      <c r="G196" s="596"/>
      <c r="H196" s="64" t="s">
        <v>735</v>
      </c>
      <c r="I196" s="65" t="s">
        <v>736</v>
      </c>
    </row>
    <row r="197" spans="6:17" ht="17.25">
      <c r="F197" s="66">
        <v>1</v>
      </c>
      <c r="G197" s="67"/>
      <c r="H197" s="68" t="s">
        <v>737</v>
      </c>
      <c r="I197" s="69" t="s">
        <v>738</v>
      </c>
    </row>
    <row r="198" spans="6:17" ht="17.25">
      <c r="F198" s="70">
        <f>F197+1</f>
        <v>2</v>
      </c>
      <c r="G198" s="71"/>
      <c r="H198" s="72" t="s">
        <v>739</v>
      </c>
      <c r="I198" s="73" t="s">
        <v>740</v>
      </c>
    </row>
    <row r="199" spans="6:17" ht="17.25">
      <c r="F199" s="70">
        <f t="shared" ref="F199:N208" si="0">F198+1</f>
        <v>3</v>
      </c>
      <c r="G199" s="71"/>
      <c r="H199" s="74" t="s">
        <v>741</v>
      </c>
      <c r="I199" s="75" t="s">
        <v>742</v>
      </c>
    </row>
    <row r="200" spans="6:17" ht="17.25">
      <c r="F200" s="70">
        <f t="shared" si="0"/>
        <v>4</v>
      </c>
      <c r="G200" s="71"/>
      <c r="H200" s="74"/>
      <c r="I200" s="76" t="s">
        <v>743</v>
      </c>
    </row>
    <row r="201" spans="6:17" ht="17.25">
      <c r="N201" s="70">
        <f>F200+1</f>
        <v>5</v>
      </c>
      <c r="O201" s="71"/>
      <c r="P201" s="74"/>
      <c r="Q201" s="77" t="s">
        <v>744</v>
      </c>
    </row>
    <row r="202" spans="6:17" ht="17.25">
      <c r="N202" s="70">
        <f t="shared" si="0"/>
        <v>6</v>
      </c>
      <c r="O202" s="71"/>
      <c r="P202" s="74"/>
      <c r="Q202" s="78" t="s">
        <v>745</v>
      </c>
    </row>
    <row r="203" spans="6:17" ht="17.25">
      <c r="N203" s="70">
        <f t="shared" si="0"/>
        <v>7</v>
      </c>
      <c r="O203" s="71"/>
      <c r="P203" s="74"/>
      <c r="Q203" s="75"/>
    </row>
    <row r="204" spans="6:17" ht="17.25">
      <c r="N204" s="70">
        <f t="shared" si="0"/>
        <v>8</v>
      </c>
      <c r="O204" s="608"/>
      <c r="P204" s="611"/>
      <c r="Q204" s="75"/>
    </row>
    <row r="205" spans="6:17" ht="17.25">
      <c r="N205" s="70">
        <f t="shared" si="0"/>
        <v>9</v>
      </c>
      <c r="O205" s="609"/>
      <c r="P205" s="612"/>
      <c r="Q205" s="75"/>
    </row>
    <row r="206" spans="6:17" ht="17.25">
      <c r="N206" s="70">
        <f t="shared" si="0"/>
        <v>10</v>
      </c>
      <c r="O206" s="609"/>
      <c r="P206" s="612"/>
      <c r="Q206" s="79"/>
    </row>
    <row r="207" spans="6:17" ht="17.25">
      <c r="N207" s="70">
        <f t="shared" si="0"/>
        <v>11</v>
      </c>
      <c r="O207" s="609"/>
      <c r="P207" s="612"/>
      <c r="Q207" s="75"/>
    </row>
    <row r="208" spans="6:17" ht="18" thickBot="1">
      <c r="N208" s="80">
        <f t="shared" si="0"/>
        <v>12</v>
      </c>
      <c r="O208" s="610"/>
      <c r="P208" s="613"/>
      <c r="Q208" s="81"/>
    </row>
    <row r="209" spans="14:17" ht="15.75" thickBot="1">
      <c r="N209" s="614" t="s">
        <v>746</v>
      </c>
      <c r="O209" s="615"/>
      <c r="P209" s="82" t="s">
        <v>747</v>
      </c>
      <c r="Q209" s="83" t="s">
        <v>748</v>
      </c>
    </row>
    <row r="210" spans="14:17" ht="15.75" thickBot="1">
      <c r="N210" s="616" t="s">
        <v>749</v>
      </c>
      <c r="O210" s="617"/>
      <c r="P210" s="617"/>
      <c r="Q210" s="618"/>
    </row>
    <row r="211" spans="14:17" ht="17.25">
      <c r="N211" s="84">
        <v>1</v>
      </c>
      <c r="O211" s="85" t="s">
        <v>750</v>
      </c>
      <c r="P211" s="86" t="s">
        <v>751</v>
      </c>
      <c r="Q211" s="73" t="s">
        <v>752</v>
      </c>
    </row>
    <row r="212" spans="14:17" ht="17.25">
      <c r="N212" s="70">
        <f>N211+1</f>
        <v>2</v>
      </c>
      <c r="O212" s="87" t="s">
        <v>753</v>
      </c>
      <c r="P212" s="88" t="s">
        <v>754</v>
      </c>
      <c r="Q212" s="89"/>
    </row>
    <row r="213" spans="14:17" ht="17.25">
      <c r="N213" s="70">
        <f t="shared" ref="N213:N215" si="1">N212+1</f>
        <v>3</v>
      </c>
      <c r="O213" s="71" t="s">
        <v>755</v>
      </c>
      <c r="P213" s="89"/>
      <c r="Q213" s="89"/>
    </row>
    <row r="214" spans="14:17" ht="17.25">
      <c r="N214" s="70">
        <f t="shared" si="1"/>
        <v>4</v>
      </c>
      <c r="O214" s="89"/>
      <c r="P214" s="89"/>
      <c r="Q214" s="89"/>
    </row>
    <row r="215" spans="14:17" ht="17.25">
      <c r="N215" s="70">
        <f t="shared" si="1"/>
        <v>5</v>
      </c>
      <c r="O215" s="89"/>
      <c r="P215" s="89"/>
      <c r="Q215" s="89"/>
    </row>
    <row r="217" spans="14:17">
      <c r="Q217" s="35"/>
    </row>
    <row r="218" spans="14:17">
      <c r="N218" s="90"/>
      <c r="O218" s="91" t="s">
        <v>756</v>
      </c>
    </row>
    <row r="219" spans="14:17">
      <c r="N219" s="90">
        <v>1</v>
      </c>
      <c r="O219" s="92"/>
    </row>
    <row r="220" spans="14:17">
      <c r="N220" s="90">
        <f>N219+1</f>
        <v>2</v>
      </c>
      <c r="O220" s="92"/>
    </row>
    <row r="221" spans="14:17">
      <c r="N221" s="90">
        <f t="shared" ref="N221:N228" si="2">N220+1</f>
        <v>3</v>
      </c>
      <c r="O221" s="92"/>
    </row>
    <row r="222" spans="14:17">
      <c r="N222" s="90">
        <f t="shared" si="2"/>
        <v>4</v>
      </c>
      <c r="O222" s="92"/>
    </row>
    <row r="223" spans="14:17">
      <c r="N223" s="90">
        <f t="shared" si="2"/>
        <v>5</v>
      </c>
      <c r="O223" s="92"/>
    </row>
    <row r="224" spans="14:17">
      <c r="N224" s="90">
        <f t="shared" si="2"/>
        <v>6</v>
      </c>
      <c r="O224" s="92"/>
    </row>
    <row r="225" spans="14:15">
      <c r="N225" s="90">
        <f t="shared" si="2"/>
        <v>7</v>
      </c>
      <c r="O225" s="92"/>
    </row>
    <row r="226" spans="14:15">
      <c r="N226" s="90">
        <f>N225+1</f>
        <v>8</v>
      </c>
      <c r="O226" s="93"/>
    </row>
    <row r="227" spans="14:15">
      <c r="N227" s="90">
        <f t="shared" si="2"/>
        <v>9</v>
      </c>
      <c r="O227" s="94"/>
    </row>
    <row r="228" spans="14:15">
      <c r="N228" s="90">
        <f t="shared" si="2"/>
        <v>10</v>
      </c>
      <c r="O228" s="94"/>
    </row>
  </sheetData>
  <mergeCells count="16">
    <mergeCell ref="O204:O208"/>
    <mergeCell ref="P204:P208"/>
    <mergeCell ref="N209:O209"/>
    <mergeCell ref="N210:Q210"/>
    <mergeCell ref="A27:A28"/>
    <mergeCell ref="A29:A30"/>
    <mergeCell ref="A31:A32"/>
    <mergeCell ref="F194:G194"/>
    <mergeCell ref="F195:G195"/>
    <mergeCell ref="F196:G196"/>
    <mergeCell ref="A25:A26"/>
    <mergeCell ref="A3:A6"/>
    <mergeCell ref="A8:A14"/>
    <mergeCell ref="A16:A19"/>
    <mergeCell ref="A21:A22"/>
    <mergeCell ref="A23:A24"/>
  </mergeCells>
  <hyperlinks>
    <hyperlink ref="E68" r:id="rId1" xr:uid="{02E0A417-755A-48ED-AEE2-9CC10BAF6569}"/>
  </hyperlinks>
  <pageMargins left="0.2" right="0.2" top="0" bottom="0" header="0.3" footer="0.3"/>
  <pageSetup scale="31" fitToHeight="0" orientation="landscape"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0881-7C73-49EF-A8BD-DDBD2D5C648B}">
  <sheetPr>
    <tabColor rgb="FFFFC000"/>
  </sheetPr>
  <dimension ref="A1:W80"/>
  <sheetViews>
    <sheetView zoomScale="130" zoomScaleNormal="130" workbookViewId="0">
      <selection activeCell="A4" sqref="A4:A7"/>
    </sheetView>
  </sheetViews>
  <sheetFormatPr defaultRowHeight="15"/>
  <cols>
    <col min="1" max="1" width="15.140625" customWidth="1"/>
    <col min="3" max="3" width="9" bestFit="1" customWidth="1"/>
    <col min="4" max="4" width="7.5703125" bestFit="1" customWidth="1"/>
    <col min="5" max="5" width="9.5703125" bestFit="1" customWidth="1"/>
    <col min="6" max="7" width="33.7109375" customWidth="1"/>
    <col min="13" max="13" width="34.7109375" customWidth="1"/>
    <col min="14" max="14" width="12.7109375" customWidth="1"/>
    <col min="15" max="15" width="3.28515625" customWidth="1"/>
    <col min="16" max="16" width="34.7109375" customWidth="1"/>
    <col min="17" max="17" width="12.7109375" customWidth="1"/>
    <col min="18" max="18" width="3" customWidth="1"/>
    <col min="19" max="19" width="34.7109375" customWidth="1"/>
    <col min="20" max="20" width="12.7109375" customWidth="1"/>
    <col min="21" max="21" width="3" customWidth="1"/>
    <col min="22" max="22" width="34.7109375" customWidth="1"/>
    <col min="23" max="23" width="12.7109375" customWidth="1"/>
  </cols>
  <sheetData>
    <row r="1" spans="1:23">
      <c r="B1" s="554" t="s">
        <v>757</v>
      </c>
      <c r="C1" s="554"/>
      <c r="D1" s="554"/>
      <c r="E1" s="554"/>
      <c r="F1" s="554"/>
      <c r="G1" s="554"/>
      <c r="H1" s="554"/>
      <c r="I1" s="554"/>
    </row>
    <row r="2" spans="1:23" ht="30.75" thickBot="1">
      <c r="M2" s="323" t="s">
        <v>99</v>
      </c>
      <c r="N2" s="166" t="s">
        <v>100</v>
      </c>
      <c r="O2" s="286"/>
      <c r="P2" s="324" t="s">
        <v>101</v>
      </c>
      <c r="Q2" s="166" t="s">
        <v>102</v>
      </c>
      <c r="S2" s="323" t="s">
        <v>103</v>
      </c>
      <c r="T2" s="166" t="s">
        <v>100</v>
      </c>
      <c r="U2" s="286"/>
      <c r="V2" s="324" t="s">
        <v>104</v>
      </c>
      <c r="W2" s="166" t="s">
        <v>102</v>
      </c>
    </row>
    <row r="3" spans="1:23" ht="36.75" thickBot="1">
      <c r="A3" s="516" t="s">
        <v>758</v>
      </c>
      <c r="B3" s="320" t="s">
        <v>759</v>
      </c>
      <c r="C3" s="499" t="s">
        <v>105</v>
      </c>
      <c r="D3" s="499" t="s">
        <v>5</v>
      </c>
      <c r="E3" s="499" t="s">
        <v>106</v>
      </c>
      <c r="F3" s="321" t="s">
        <v>130</v>
      </c>
      <c r="G3" s="321" t="s">
        <v>131</v>
      </c>
      <c r="H3" s="96" t="s">
        <v>8</v>
      </c>
      <c r="I3" s="96" t="s">
        <v>9</v>
      </c>
      <c r="J3" s="96" t="s">
        <v>10</v>
      </c>
      <c r="M3" s="295"/>
      <c r="N3" s="158"/>
      <c r="P3" s="295"/>
      <c r="Q3" s="158"/>
      <c r="S3" s="295"/>
      <c r="T3" s="158"/>
      <c r="V3" s="295"/>
      <c r="W3" s="158"/>
    </row>
    <row r="4" spans="1:23" ht="17.25">
      <c r="A4" s="621" t="s">
        <v>760</v>
      </c>
      <c r="B4" s="624" t="s">
        <v>237</v>
      </c>
      <c r="C4" s="627">
        <v>4</v>
      </c>
      <c r="D4" s="489">
        <v>2</v>
      </c>
      <c r="E4" s="489">
        <v>1</v>
      </c>
      <c r="F4" s="489"/>
      <c r="G4" s="489"/>
      <c r="H4" s="16">
        <f>COUNTA(F4)</f>
        <v>0</v>
      </c>
      <c r="I4" s="16">
        <f>COUNTA(F4:G4)</f>
        <v>0</v>
      </c>
      <c r="J4" s="524">
        <f>D4-I4</f>
        <v>2</v>
      </c>
      <c r="M4" s="296"/>
      <c r="N4" s="158"/>
      <c r="P4" s="292"/>
      <c r="Q4" s="158"/>
    </row>
    <row r="5" spans="1:23" ht="17.25">
      <c r="A5" s="622"/>
      <c r="B5" s="625"/>
      <c r="C5" s="628"/>
      <c r="D5" s="322">
        <v>2</v>
      </c>
      <c r="E5" s="322">
        <v>2</v>
      </c>
      <c r="F5" s="322"/>
      <c r="G5" s="322"/>
      <c r="H5" s="40">
        <f t="shared" ref="H5:H13" si="0">COUNTA(F5)</f>
        <v>0</v>
      </c>
      <c r="I5" s="40">
        <f t="shared" ref="I5:I13" si="1">COUNTA(F5:G5)</f>
        <v>0</v>
      </c>
      <c r="J5" s="525">
        <f t="shared" ref="J5:J13" si="2">D5-I5</f>
        <v>2</v>
      </c>
      <c r="M5" s="296"/>
      <c r="N5" s="158"/>
      <c r="P5" s="90"/>
      <c r="Q5" s="90"/>
    </row>
    <row r="6" spans="1:23" ht="17.25">
      <c r="A6" s="622"/>
      <c r="B6" s="625"/>
      <c r="C6" s="628"/>
      <c r="D6" s="322">
        <v>2</v>
      </c>
      <c r="E6" s="322">
        <v>3</v>
      </c>
      <c r="F6" s="322"/>
      <c r="G6" s="322"/>
      <c r="H6" s="40">
        <f t="shared" si="0"/>
        <v>0</v>
      </c>
      <c r="I6" s="40">
        <f t="shared" si="1"/>
        <v>0</v>
      </c>
      <c r="J6" s="525">
        <f t="shared" si="2"/>
        <v>2</v>
      </c>
      <c r="M6" s="296"/>
      <c r="N6" s="158"/>
      <c r="P6" s="90"/>
      <c r="Q6" s="90"/>
    </row>
    <row r="7" spans="1:23" ht="18" thickBot="1">
      <c r="A7" s="623"/>
      <c r="B7" s="626"/>
      <c r="C7" s="629"/>
      <c r="D7" s="490">
        <v>2</v>
      </c>
      <c r="E7" s="490">
        <v>4</v>
      </c>
      <c r="F7" s="490"/>
      <c r="G7" s="490"/>
      <c r="H7" s="149">
        <f t="shared" si="0"/>
        <v>0</v>
      </c>
      <c r="I7" s="149">
        <f t="shared" si="1"/>
        <v>0</v>
      </c>
      <c r="J7" s="526">
        <f t="shared" si="2"/>
        <v>2</v>
      </c>
      <c r="M7" s="296"/>
      <c r="N7" s="158"/>
      <c r="P7" s="90"/>
      <c r="Q7" s="90"/>
    </row>
    <row r="8" spans="1:23" ht="18" thickBot="1">
      <c r="A8" s="521" t="s">
        <v>758</v>
      </c>
      <c r="B8" s="502"/>
      <c r="C8" s="503"/>
      <c r="D8" s="493"/>
      <c r="E8" s="493"/>
      <c r="F8" s="493"/>
      <c r="G8" s="514"/>
      <c r="H8" s="527">
        <f>SUM(H4:H7)</f>
        <v>0</v>
      </c>
      <c r="I8" s="528">
        <f>SUM(I4:I7)</f>
        <v>0</v>
      </c>
      <c r="J8" s="529">
        <f>SUM(J4:J7)</f>
        <v>8</v>
      </c>
      <c r="M8" s="296"/>
      <c r="N8" s="158"/>
      <c r="P8" s="90"/>
      <c r="Q8" s="90"/>
    </row>
    <row r="9" spans="1:23" ht="9.75" customHeight="1" thickBot="1">
      <c r="A9" s="498"/>
      <c r="B9" s="517"/>
      <c r="C9" s="518"/>
      <c r="D9" s="519"/>
      <c r="E9" s="520"/>
      <c r="F9" s="517"/>
      <c r="G9" s="517"/>
      <c r="H9" s="518"/>
      <c r="I9" s="519"/>
      <c r="J9" s="530"/>
      <c r="M9" s="296"/>
      <c r="N9" s="158"/>
      <c r="P9" s="90"/>
      <c r="Q9" s="90"/>
    </row>
    <row r="10" spans="1:23" ht="17.25">
      <c r="A10" s="621" t="s">
        <v>761</v>
      </c>
      <c r="B10" s="624" t="s">
        <v>237</v>
      </c>
      <c r="C10" s="491"/>
      <c r="D10" s="489">
        <v>2</v>
      </c>
      <c r="E10" s="489">
        <v>1</v>
      </c>
      <c r="F10" s="489"/>
      <c r="G10" s="489"/>
      <c r="H10" s="16">
        <f t="shared" si="0"/>
        <v>0</v>
      </c>
      <c r="I10" s="16">
        <f t="shared" si="1"/>
        <v>0</v>
      </c>
      <c r="J10" s="524">
        <f t="shared" si="2"/>
        <v>2</v>
      </c>
      <c r="M10" s="296"/>
      <c r="N10" s="158"/>
      <c r="P10" s="90"/>
      <c r="Q10" s="90"/>
    </row>
    <row r="11" spans="1:23" ht="17.25">
      <c r="A11" s="622"/>
      <c r="B11" s="625"/>
      <c r="C11" s="333"/>
      <c r="D11" s="322">
        <v>2</v>
      </c>
      <c r="E11" s="322">
        <v>2</v>
      </c>
      <c r="F11" s="322"/>
      <c r="G11" s="322"/>
      <c r="H11" s="40">
        <f t="shared" si="0"/>
        <v>0</v>
      </c>
      <c r="I11" s="40">
        <f t="shared" si="1"/>
        <v>0</v>
      </c>
      <c r="J11" s="525">
        <f t="shared" si="2"/>
        <v>2</v>
      </c>
      <c r="M11" s="296"/>
      <c r="N11" s="158"/>
      <c r="P11" s="90"/>
      <c r="Q11" s="90"/>
    </row>
    <row r="12" spans="1:23" ht="17.25">
      <c r="A12" s="622"/>
      <c r="B12" s="625"/>
      <c r="C12" s="322"/>
      <c r="D12" s="322">
        <v>2</v>
      </c>
      <c r="E12" s="322">
        <v>3</v>
      </c>
      <c r="F12" s="322"/>
      <c r="G12" s="322"/>
      <c r="H12" s="40">
        <f t="shared" si="0"/>
        <v>0</v>
      </c>
      <c r="I12" s="40">
        <f t="shared" si="1"/>
        <v>0</v>
      </c>
      <c r="J12" s="525">
        <f t="shared" si="2"/>
        <v>2</v>
      </c>
      <c r="M12" s="298"/>
      <c r="N12" s="158"/>
      <c r="P12" s="90"/>
      <c r="Q12" s="90"/>
    </row>
    <row r="13" spans="1:23" ht="18" thickBot="1">
      <c r="A13" s="623"/>
      <c r="B13" s="626"/>
      <c r="C13" s="490"/>
      <c r="D13" s="490">
        <v>2</v>
      </c>
      <c r="E13" s="490">
        <v>4</v>
      </c>
      <c r="F13" s="490"/>
      <c r="G13" s="490"/>
      <c r="H13" s="149">
        <f t="shared" si="0"/>
        <v>0</v>
      </c>
      <c r="I13" s="149">
        <f t="shared" si="1"/>
        <v>0</v>
      </c>
      <c r="J13" s="526">
        <f t="shared" si="2"/>
        <v>2</v>
      </c>
      <c r="M13" s="298"/>
      <c r="N13" s="158"/>
      <c r="P13" s="90"/>
      <c r="Q13" s="90"/>
    </row>
    <row r="14" spans="1:23" ht="18" thickBot="1">
      <c r="A14" s="522" t="s">
        <v>762</v>
      </c>
      <c r="B14" s="500"/>
      <c r="C14" s="501"/>
      <c r="D14" s="501"/>
      <c r="E14" s="501"/>
      <c r="F14" s="501"/>
      <c r="G14" s="515"/>
      <c r="H14" s="527"/>
      <c r="I14" s="528"/>
      <c r="J14" s="529"/>
      <c r="M14" s="298"/>
      <c r="N14" s="158"/>
      <c r="P14" s="90"/>
      <c r="Q14" s="90"/>
    </row>
    <row r="15" spans="1:23" ht="9.75" customHeight="1" thickBot="1">
      <c r="A15" s="498"/>
      <c r="B15" s="391"/>
      <c r="C15" s="392"/>
      <c r="D15" s="508"/>
      <c r="E15" s="509"/>
      <c r="F15" s="391"/>
      <c r="G15" s="391"/>
      <c r="H15" s="392"/>
      <c r="I15" s="508"/>
      <c r="J15" s="531"/>
      <c r="M15" s="298"/>
      <c r="N15" s="158"/>
      <c r="P15" s="90"/>
      <c r="Q15" s="90"/>
    </row>
    <row r="16" spans="1:23" ht="17.25">
      <c r="A16" s="621"/>
      <c r="B16" s="495"/>
      <c r="C16" s="333"/>
      <c r="D16" s="488"/>
      <c r="E16" s="488"/>
      <c r="F16" s="488"/>
      <c r="G16" s="488"/>
      <c r="H16" s="40">
        <f t="shared" ref="H16:H19" si="3">COUNTA(F16)</f>
        <v>0</v>
      </c>
      <c r="I16" s="40">
        <f t="shared" ref="I16:I19" si="4">COUNTA(F16:G16)</f>
        <v>0</v>
      </c>
      <c r="J16" s="40">
        <f t="shared" ref="J16:J19" si="5">D16-I16</f>
        <v>0</v>
      </c>
      <c r="M16" s="296"/>
      <c r="N16" s="158"/>
      <c r="P16" s="90"/>
      <c r="Q16" s="90"/>
    </row>
    <row r="17" spans="1:17" ht="17.25">
      <c r="A17" s="622"/>
      <c r="B17" s="495"/>
      <c r="C17" s="333"/>
      <c r="D17" s="322"/>
      <c r="E17" s="322"/>
      <c r="F17" s="322"/>
      <c r="G17" s="322"/>
      <c r="H17" s="40">
        <f t="shared" si="3"/>
        <v>0</v>
      </c>
      <c r="I17" s="40">
        <f t="shared" si="4"/>
        <v>0</v>
      </c>
      <c r="J17" s="40">
        <f t="shared" si="5"/>
        <v>0</v>
      </c>
      <c r="M17" s="296"/>
      <c r="N17" s="158"/>
      <c r="P17" s="90"/>
      <c r="Q17" s="90"/>
    </row>
    <row r="18" spans="1:17" ht="17.25">
      <c r="A18" s="622"/>
      <c r="B18" s="496"/>
      <c r="C18" s="322"/>
      <c r="D18" s="322"/>
      <c r="E18" s="322"/>
      <c r="F18" s="322"/>
      <c r="G18" s="322"/>
      <c r="H18" s="40">
        <f t="shared" si="3"/>
        <v>0</v>
      </c>
      <c r="I18" s="40">
        <f t="shared" si="4"/>
        <v>0</v>
      </c>
      <c r="J18" s="40">
        <f t="shared" si="5"/>
        <v>0</v>
      </c>
      <c r="M18" s="298"/>
      <c r="N18" s="158"/>
      <c r="P18" s="90"/>
      <c r="Q18" s="90"/>
    </row>
    <row r="19" spans="1:17" ht="18" thickBot="1">
      <c r="A19" s="623"/>
      <c r="B19" s="504"/>
      <c r="C19" s="505"/>
      <c r="D19" s="505"/>
      <c r="E19" s="505"/>
      <c r="F19" s="505"/>
      <c r="G19" s="505"/>
      <c r="H19" s="532">
        <f t="shared" si="3"/>
        <v>0</v>
      </c>
      <c r="I19" s="532">
        <f t="shared" si="4"/>
        <v>0</v>
      </c>
      <c r="J19" s="532">
        <f t="shared" si="5"/>
        <v>0</v>
      </c>
      <c r="M19" s="298"/>
      <c r="N19" s="158"/>
      <c r="P19" s="90"/>
      <c r="Q19" s="90"/>
    </row>
    <row r="20" spans="1:17" ht="18" thickBot="1">
      <c r="A20" s="523"/>
      <c r="B20" s="492"/>
      <c r="C20" s="493"/>
      <c r="D20" s="493"/>
      <c r="E20" s="493"/>
      <c r="F20" s="493"/>
      <c r="G20" s="514"/>
      <c r="H20" s="527"/>
      <c r="I20" s="528"/>
      <c r="J20" s="529"/>
      <c r="M20" s="298"/>
      <c r="N20" s="158"/>
      <c r="P20" s="90"/>
      <c r="Q20" s="90"/>
    </row>
    <row r="21" spans="1:17" ht="9.75" customHeight="1" thickBot="1">
      <c r="A21" s="498"/>
      <c r="B21" s="510"/>
      <c r="C21" s="511"/>
      <c r="D21" s="512"/>
      <c r="E21" s="513"/>
      <c r="F21" s="510"/>
      <c r="G21" s="510"/>
      <c r="H21" s="511"/>
      <c r="I21" s="512"/>
      <c r="J21" s="533"/>
      <c r="M21" s="296"/>
      <c r="N21" s="158"/>
      <c r="P21" s="90"/>
      <c r="Q21" s="90"/>
    </row>
    <row r="22" spans="1:17" ht="17.25">
      <c r="A22" s="621"/>
      <c r="B22" s="494"/>
      <c r="C22" s="491"/>
      <c r="D22" s="489"/>
      <c r="E22" s="489"/>
      <c r="F22" s="489"/>
      <c r="G22" s="489"/>
      <c r="H22" s="16">
        <f t="shared" ref="H22:H25" si="6">COUNTA(F22)</f>
        <v>0</v>
      </c>
      <c r="I22" s="16">
        <f t="shared" ref="I22:I25" si="7">COUNTA(F22:G22)</f>
        <v>0</v>
      </c>
      <c r="J22" s="524">
        <f t="shared" ref="J22:J25" si="8">D22-I22</f>
        <v>0</v>
      </c>
      <c r="M22" s="296"/>
      <c r="N22" s="158"/>
      <c r="P22" s="90"/>
      <c r="Q22" s="90"/>
    </row>
    <row r="23" spans="1:17" ht="17.25">
      <c r="A23" s="622"/>
      <c r="B23" s="495"/>
      <c r="C23" s="333"/>
      <c r="D23" s="322"/>
      <c r="E23" s="322"/>
      <c r="F23" s="322"/>
      <c r="G23" s="322"/>
      <c r="H23" s="40">
        <f t="shared" si="6"/>
        <v>0</v>
      </c>
      <c r="I23" s="40">
        <f t="shared" si="7"/>
        <v>0</v>
      </c>
      <c r="J23" s="525">
        <f t="shared" si="8"/>
        <v>0</v>
      </c>
      <c r="M23" s="296"/>
      <c r="N23" s="158"/>
      <c r="P23" s="90"/>
      <c r="Q23" s="90"/>
    </row>
    <row r="24" spans="1:17" ht="17.25">
      <c r="A24" s="622"/>
      <c r="B24" s="496"/>
      <c r="C24" s="322"/>
      <c r="D24" s="322"/>
      <c r="E24" s="322"/>
      <c r="F24" s="322"/>
      <c r="G24" s="322"/>
      <c r="H24" s="40">
        <f t="shared" si="6"/>
        <v>0</v>
      </c>
      <c r="I24" s="40">
        <f t="shared" si="7"/>
        <v>0</v>
      </c>
      <c r="J24" s="525">
        <f t="shared" si="8"/>
        <v>0</v>
      </c>
      <c r="M24" s="298"/>
      <c r="N24" s="158"/>
      <c r="P24" s="90"/>
      <c r="Q24" s="90"/>
    </row>
    <row r="25" spans="1:17" ht="18" thickBot="1">
      <c r="A25" s="623"/>
      <c r="B25" s="497"/>
      <c r="C25" s="490"/>
      <c r="D25" s="490"/>
      <c r="E25" s="490"/>
      <c r="F25" s="490"/>
      <c r="G25" s="490"/>
      <c r="H25" s="149">
        <f t="shared" si="6"/>
        <v>0</v>
      </c>
      <c r="I25" s="149">
        <f t="shared" si="7"/>
        <v>0</v>
      </c>
      <c r="J25" s="526">
        <f t="shared" si="8"/>
        <v>0</v>
      </c>
      <c r="M25" s="298"/>
      <c r="N25" s="158"/>
      <c r="P25" s="90"/>
      <c r="Q25" s="90"/>
    </row>
    <row r="26" spans="1:17" ht="18" thickBot="1">
      <c r="A26" s="523"/>
      <c r="B26" s="492"/>
      <c r="C26" s="493"/>
      <c r="D26" s="493"/>
      <c r="E26" s="493"/>
      <c r="F26" s="493"/>
      <c r="G26" s="514"/>
      <c r="H26" s="527"/>
      <c r="I26" s="528"/>
      <c r="J26" s="529"/>
      <c r="M26" s="298"/>
      <c r="N26" s="158"/>
      <c r="P26" s="90"/>
      <c r="Q26" s="90"/>
    </row>
    <row r="27" spans="1:17" ht="9.75" customHeight="1" thickBot="1">
      <c r="A27" s="498"/>
      <c r="B27" s="381"/>
      <c r="C27" s="382"/>
      <c r="D27" s="506"/>
      <c r="E27" s="507"/>
      <c r="F27" s="381"/>
      <c r="G27" s="381"/>
      <c r="H27" s="382"/>
      <c r="I27" s="506"/>
      <c r="J27" s="534"/>
      <c r="M27" s="296"/>
      <c r="N27" s="158"/>
      <c r="P27" s="90"/>
      <c r="Q27" s="90"/>
    </row>
    <row r="28" spans="1:17" ht="15.75" thickBot="1">
      <c r="H28" s="535">
        <f>SUM(H4:H13)</f>
        <v>0</v>
      </c>
      <c r="I28" s="535">
        <f t="shared" ref="I28:J28" si="9">SUM(I4:I13)</f>
        <v>0</v>
      </c>
      <c r="J28" s="535">
        <f t="shared" si="9"/>
        <v>24</v>
      </c>
      <c r="M28" s="298"/>
      <c r="N28" s="158"/>
      <c r="P28" s="90"/>
      <c r="Q28" s="90"/>
    </row>
    <row r="29" spans="1:17" ht="36.75" thickBot="1">
      <c r="H29" s="115" t="s">
        <v>8</v>
      </c>
      <c r="I29" s="115" t="s">
        <v>9</v>
      </c>
      <c r="J29" s="115" t="s">
        <v>10</v>
      </c>
      <c r="M29" s="296"/>
      <c r="N29" s="158"/>
      <c r="P29" s="90"/>
      <c r="Q29" s="90"/>
    </row>
    <row r="30" spans="1:17">
      <c r="M30" s="296"/>
      <c r="N30" s="158"/>
      <c r="P30" s="90"/>
      <c r="Q30" s="90"/>
    </row>
    <row r="31" spans="1:17">
      <c r="M31" s="298"/>
      <c r="N31" s="158"/>
      <c r="P31" s="90"/>
      <c r="Q31" s="90"/>
    </row>
    <row r="32" spans="1:17">
      <c r="M32" s="298"/>
      <c r="N32" s="158"/>
      <c r="P32" s="90"/>
      <c r="Q32" s="90"/>
    </row>
    <row r="33" spans="13:17">
      <c r="M33" s="298"/>
      <c r="N33" s="158"/>
      <c r="P33" s="124"/>
      <c r="Q33" s="90"/>
    </row>
    <row r="34" spans="13:17">
      <c r="M34" s="298"/>
      <c r="N34" s="158"/>
      <c r="P34" s="124"/>
      <c r="Q34" s="90"/>
    </row>
    <row r="35" spans="13:17">
      <c r="M35" s="298"/>
      <c r="N35" s="158"/>
      <c r="P35" s="124"/>
      <c r="Q35" s="90"/>
    </row>
    <row r="36" spans="13:17">
      <c r="M36" s="298"/>
      <c r="N36" s="158"/>
      <c r="P36" s="124"/>
      <c r="Q36" s="90"/>
    </row>
    <row r="37" spans="13:17">
      <c r="M37" s="298"/>
      <c r="N37" s="158"/>
      <c r="P37" s="124"/>
      <c r="Q37" s="90"/>
    </row>
    <row r="38" spans="13:17">
      <c r="M38" s="331"/>
      <c r="N38" s="158"/>
      <c r="P38" s="298"/>
      <c r="Q38" s="158"/>
    </row>
    <row r="39" spans="13:17">
      <c r="M39" s="292"/>
      <c r="N39" s="158"/>
      <c r="P39" s="124"/>
      <c r="Q39" s="90"/>
    </row>
    <row r="40" spans="13:17">
      <c r="M40" s="292"/>
      <c r="N40" s="158"/>
      <c r="P40" s="124"/>
      <c r="Q40" s="90"/>
    </row>
    <row r="41" spans="13:17">
      <c r="M41" s="292"/>
      <c r="N41" s="158"/>
      <c r="P41" s="124"/>
      <c r="Q41" s="90"/>
    </row>
    <row r="42" spans="13:17">
      <c r="M42" s="296"/>
      <c r="N42" s="158"/>
      <c r="P42" s="124"/>
      <c r="Q42" s="90"/>
    </row>
    <row r="43" spans="13:17">
      <c r="M43" s="295"/>
      <c r="N43" s="158"/>
      <c r="P43" s="124"/>
      <c r="Q43" s="90"/>
    </row>
    <row r="44" spans="13:17">
      <c r="M44" s="298"/>
      <c r="N44" s="158"/>
      <c r="P44" s="298"/>
      <c r="Q44" s="158"/>
    </row>
    <row r="45" spans="13:17">
      <c r="M45" s="297"/>
      <c r="N45" s="158"/>
      <c r="P45" s="124"/>
      <c r="Q45" s="90"/>
    </row>
    <row r="46" spans="13:17">
      <c r="M46" s="298"/>
      <c r="N46" s="158"/>
      <c r="P46" s="124"/>
      <c r="Q46" s="90"/>
    </row>
    <row r="47" spans="13:17">
      <c r="M47" s="298"/>
      <c r="N47" s="158"/>
      <c r="P47" s="124"/>
      <c r="Q47" s="90"/>
    </row>
    <row r="48" spans="13:17">
      <c r="P48" s="124"/>
      <c r="Q48" s="90"/>
    </row>
    <row r="49" spans="13:17">
      <c r="M49" s="90"/>
      <c r="N49" s="90"/>
      <c r="P49" s="124"/>
      <c r="Q49" s="90"/>
    </row>
    <row r="50" spans="13:17">
      <c r="M50" s="90"/>
      <c r="N50" s="90"/>
      <c r="P50" s="298"/>
      <c r="Q50" s="158"/>
    </row>
    <row r="51" spans="13:17">
      <c r="M51" s="90"/>
      <c r="N51" s="90"/>
      <c r="P51" s="124"/>
      <c r="Q51" s="90"/>
    </row>
    <row r="52" spans="13:17">
      <c r="M52" s="90"/>
      <c r="N52" s="90"/>
      <c r="P52" s="124"/>
      <c r="Q52" s="90"/>
    </row>
    <row r="53" spans="13:17">
      <c r="M53" s="90"/>
      <c r="N53" s="90"/>
      <c r="P53" s="124"/>
      <c r="Q53" s="90"/>
    </row>
    <row r="54" spans="13:17">
      <c r="M54" s="90"/>
      <c r="N54" s="90"/>
      <c r="P54" s="124"/>
      <c r="Q54" s="90"/>
    </row>
    <row r="55" spans="13:17">
      <c r="M55" s="90"/>
      <c r="N55" s="90"/>
      <c r="P55" s="124"/>
      <c r="Q55" s="90"/>
    </row>
    <row r="56" spans="13:17">
      <c r="M56" s="90"/>
      <c r="N56" s="90"/>
      <c r="P56" s="298"/>
      <c r="Q56" s="158"/>
    </row>
    <row r="57" spans="13:17">
      <c r="M57" s="90"/>
      <c r="N57" s="90"/>
      <c r="P57" s="90"/>
      <c r="Q57" s="90"/>
    </row>
    <row r="58" spans="13:17">
      <c r="M58" s="90"/>
      <c r="N58" s="90"/>
      <c r="P58" s="90"/>
      <c r="Q58" s="90"/>
    </row>
    <row r="59" spans="13:17">
      <c r="M59" s="90"/>
      <c r="N59" s="90"/>
      <c r="P59" s="90"/>
      <c r="Q59" s="90"/>
    </row>
    <row r="60" spans="13:17">
      <c r="M60" s="90"/>
      <c r="N60" s="90"/>
      <c r="P60" s="90"/>
      <c r="Q60" s="90"/>
    </row>
    <row r="61" spans="13:17">
      <c r="M61" s="90"/>
      <c r="N61" s="90"/>
      <c r="P61" s="90"/>
      <c r="Q61" s="90"/>
    </row>
    <row r="62" spans="13:17">
      <c r="M62" s="90"/>
      <c r="N62" s="90"/>
      <c r="P62" s="90"/>
      <c r="Q62" s="90"/>
    </row>
    <row r="63" spans="13:17">
      <c r="M63" s="90"/>
      <c r="N63" s="90"/>
      <c r="P63" s="90"/>
      <c r="Q63" s="90"/>
    </row>
    <row r="64" spans="13:17">
      <c r="M64" s="90"/>
      <c r="N64" s="90"/>
      <c r="P64" s="90"/>
      <c r="Q64" s="90"/>
    </row>
    <row r="65" spans="13:17">
      <c r="M65" s="90"/>
      <c r="N65" s="90"/>
      <c r="P65" s="90"/>
      <c r="Q65" s="90"/>
    </row>
    <row r="66" spans="13:17">
      <c r="M66" s="90"/>
      <c r="N66" s="90"/>
      <c r="P66" s="90"/>
      <c r="Q66" s="90"/>
    </row>
    <row r="67" spans="13:17">
      <c r="M67" s="90"/>
      <c r="N67" s="90"/>
      <c r="P67" s="90"/>
      <c r="Q67" s="90"/>
    </row>
    <row r="68" spans="13:17">
      <c r="M68" s="90"/>
      <c r="N68" s="90"/>
      <c r="P68" s="90"/>
      <c r="Q68" s="90"/>
    </row>
    <row r="69" spans="13:17">
      <c r="M69" s="90"/>
      <c r="N69" s="90"/>
      <c r="P69" s="90"/>
      <c r="Q69" s="90"/>
    </row>
    <row r="70" spans="13:17">
      <c r="M70" s="90"/>
      <c r="N70" s="90"/>
      <c r="P70" s="90"/>
      <c r="Q70" s="90"/>
    </row>
    <row r="71" spans="13:17">
      <c r="M71" s="90"/>
      <c r="N71" s="90"/>
      <c r="P71" s="90"/>
      <c r="Q71" s="90"/>
    </row>
    <row r="72" spans="13:17">
      <c r="M72" s="90"/>
      <c r="N72" s="90"/>
      <c r="P72" s="90"/>
      <c r="Q72" s="90"/>
    </row>
    <row r="73" spans="13:17">
      <c r="M73" s="90"/>
      <c r="N73" s="90"/>
      <c r="P73" s="90"/>
      <c r="Q73" s="90"/>
    </row>
    <row r="74" spans="13:17">
      <c r="M74" s="90"/>
      <c r="N74" s="90"/>
      <c r="P74" s="90"/>
      <c r="Q74" s="90"/>
    </row>
    <row r="75" spans="13:17">
      <c r="M75" s="90"/>
      <c r="N75" s="90"/>
      <c r="P75" s="90"/>
      <c r="Q75" s="90"/>
    </row>
    <row r="76" spans="13:17">
      <c r="M76" s="90"/>
      <c r="N76" s="90"/>
      <c r="P76" s="90"/>
      <c r="Q76" s="90"/>
    </row>
    <row r="77" spans="13:17">
      <c r="M77" s="90"/>
      <c r="N77" s="90"/>
      <c r="P77" s="90"/>
      <c r="Q77" s="90"/>
    </row>
    <row r="78" spans="13:17">
      <c r="M78" s="90"/>
      <c r="N78" s="90"/>
      <c r="P78" s="90"/>
      <c r="Q78" s="90"/>
    </row>
    <row r="79" spans="13:17">
      <c r="M79" s="90"/>
      <c r="N79" s="90"/>
      <c r="P79" s="90"/>
      <c r="Q79" s="90"/>
    </row>
    <row r="80" spans="13:17">
      <c r="M80" s="90"/>
      <c r="N80" s="90"/>
    </row>
  </sheetData>
  <mergeCells count="8">
    <mergeCell ref="A16:A19"/>
    <mergeCell ref="A22:A25"/>
    <mergeCell ref="B10:B13"/>
    <mergeCell ref="B1:I1"/>
    <mergeCell ref="C4:C7"/>
    <mergeCell ref="B4:B7"/>
    <mergeCell ref="A4:A7"/>
    <mergeCell ref="A10:A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B83E-F03C-4FC0-8553-34A17CA40366}">
  <sheetPr>
    <outlinePr summaryBelow="0" summaryRight="0"/>
  </sheetPr>
  <dimension ref="A1:B9"/>
  <sheetViews>
    <sheetView workbookViewId="0">
      <selection activeCell="G23" sqref="G23"/>
    </sheetView>
  </sheetViews>
  <sheetFormatPr defaultColWidth="12.5703125" defaultRowHeight="15.75" customHeight="1"/>
  <cols>
    <col min="1" max="1" width="25.7109375" style="155" customWidth="1"/>
    <col min="2" max="2" width="38.28515625" style="155" bestFit="1" customWidth="1"/>
    <col min="3" max="16384" width="12.5703125" style="155"/>
  </cols>
  <sheetData>
    <row r="1" spans="1:2" ht="15.75" customHeight="1">
      <c r="A1" s="154" t="s">
        <v>763</v>
      </c>
      <c r="B1" s="154" t="s">
        <v>764</v>
      </c>
    </row>
    <row r="2" spans="1:2" ht="15.75" customHeight="1">
      <c r="A2" s="334" t="s">
        <v>765</v>
      </c>
      <c r="B2" s="334" t="s">
        <v>766</v>
      </c>
    </row>
    <row r="3" spans="1:2" ht="15.75" customHeight="1">
      <c r="A3" s="334" t="s">
        <v>767</v>
      </c>
      <c r="B3" s="334" t="s">
        <v>768</v>
      </c>
    </row>
    <row r="4" spans="1:2" ht="15.75" customHeight="1">
      <c r="A4" s="334" t="s">
        <v>769</v>
      </c>
      <c r="B4" s="334" t="s">
        <v>770</v>
      </c>
    </row>
    <row r="5" spans="1:2" ht="15.75" customHeight="1">
      <c r="A5" s="334" t="s">
        <v>771</v>
      </c>
      <c r="B5" s="334" t="s">
        <v>772</v>
      </c>
    </row>
    <row r="6" spans="1:2" ht="15.75" customHeight="1">
      <c r="A6" s="156" t="s">
        <v>0</v>
      </c>
      <c r="B6" s="334" t="s">
        <v>773</v>
      </c>
    </row>
    <row r="7" spans="1:2" ht="15.75" customHeight="1">
      <c r="A7" s="156" t="s">
        <v>774</v>
      </c>
      <c r="B7" s="334" t="s">
        <v>775</v>
      </c>
    </row>
    <row r="8" spans="1:2" ht="15.75" customHeight="1">
      <c r="A8" s="156" t="s">
        <v>776</v>
      </c>
      <c r="B8" s="334" t="s">
        <v>777</v>
      </c>
    </row>
    <row r="9" spans="1:2" ht="15.75" customHeight="1">
      <c r="A9" s="156" t="s">
        <v>778</v>
      </c>
      <c r="B9" s="157" t="s">
        <v>779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44B888210F745995458AFF4B27F5A" ma:contentTypeVersion="10" ma:contentTypeDescription="Create a new document." ma:contentTypeScope="" ma:versionID="0b4749b6aade8d1de92f93366160c2f3">
  <xsd:schema xmlns:xsd="http://www.w3.org/2001/XMLSchema" xmlns:xs="http://www.w3.org/2001/XMLSchema" xmlns:p="http://schemas.microsoft.com/office/2006/metadata/properties" xmlns:ns2="2d93cd94-7174-4cb7-8bf1-3a82700f7258" xmlns:ns3="dd45fcd1-5224-47d8-98d6-bf41b8154712" targetNamespace="http://schemas.microsoft.com/office/2006/metadata/properties" ma:root="true" ma:fieldsID="3d6810b4dcd220e032a6af91e1cf34af" ns2:_="" ns3:_="">
    <xsd:import namespace="2d93cd94-7174-4cb7-8bf1-3a82700f7258"/>
    <xsd:import namespace="dd45fcd1-5224-47d8-98d6-bf41b8154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3cd94-7174-4cb7-8bf1-3a82700f7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5fcd1-5224-47d8-98d6-bf41b81547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1091c-8a98-471b-808e-413285f52409}" ma:internalName="TaxCatchAll" ma:showField="CatchAllData" ma:web="dd45fcd1-5224-47d8-98d6-bf41b8154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93cd94-7174-4cb7-8bf1-3a82700f7258">
      <Terms xmlns="http://schemas.microsoft.com/office/infopath/2007/PartnerControls"/>
    </lcf76f155ced4ddcb4097134ff3c332f>
    <TaxCatchAll xmlns="dd45fcd1-5224-47d8-98d6-bf41b8154712" xsi:nil="true"/>
  </documentManagement>
</p:properties>
</file>

<file path=customXml/itemProps1.xml><?xml version="1.0" encoding="utf-8"?>
<ds:datastoreItem xmlns:ds="http://schemas.openxmlformats.org/officeDocument/2006/customXml" ds:itemID="{3DAB9DF5-69F0-4765-94C1-ECA3905635B5}"/>
</file>

<file path=customXml/itemProps2.xml><?xml version="1.0" encoding="utf-8"?>
<ds:datastoreItem xmlns:ds="http://schemas.openxmlformats.org/officeDocument/2006/customXml" ds:itemID="{4AC87953-279A-4908-B968-4A62EB423848}"/>
</file>

<file path=customXml/itemProps3.xml><?xml version="1.0" encoding="utf-8"?>
<ds:datastoreItem xmlns:ds="http://schemas.openxmlformats.org/officeDocument/2006/customXml" ds:itemID="{9867C219-07D8-49BD-B1CF-ED2659350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Linoshka Santana</dc:creator>
  <cp:keywords/>
  <dc:description/>
  <cp:lastModifiedBy/>
  <cp:revision/>
  <dcterms:created xsi:type="dcterms:W3CDTF">2026-04-14T15:56:08Z</dcterms:created>
  <dcterms:modified xsi:type="dcterms:W3CDTF">2026-05-01T22:56:39Z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0x010100E6344B888210F745995458AFF4B27F5A</vt:lpwstr>
  </property>
  <property fmtid="{D5CDD505-2E9C-101B-9397-08002B2CF9AE}" pid="3" name="MediaServiceImageTags">
    <vt:lpwstr/>
  </property>
</Properties>
</file>