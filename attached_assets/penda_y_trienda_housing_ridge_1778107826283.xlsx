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penda0-my.sharepoint.com/personal/lsantana_krugerfamilyindustries_com/Documents/.Penda/Housing Ridge Motor Inn/"/>
    </mc:Choice>
  </mc:AlternateContent>
  <xr:revisionPtr revIDLastSave="143" documentId="8_{1A435B7C-B72C-4F56-8A33-BC273EF8A6CE}" xr6:coauthVersionLast="47" xr6:coauthVersionMax="47" xr10:uidLastSave="{480077E0-4F35-4311-98FA-B1B2FF42931B}"/>
  <bookViews>
    <workbookView xWindow="-28920" yWindow="45" windowWidth="29040" windowHeight="15720" firstSheet="1" activeTab="1" xr2:uid="{B8A4F34C-9B86-4848-BFEE-88FF97B51E12}"/>
  </bookViews>
  <sheets>
    <sheet name="P2.P5-Portage,WI-RidgeMotorInn" sheetId="2" r:id="rId1"/>
    <sheet name="Ridge motor in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I5" i="2" s="1"/>
  <c r="H6" i="2"/>
  <c r="I6" i="2" s="1"/>
  <c r="H7" i="2"/>
  <c r="I7" i="2" s="1"/>
  <c r="H8" i="2"/>
  <c r="I8" i="2" s="1"/>
  <c r="H9" i="2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4" i="2"/>
  <c r="I4" i="2" s="1"/>
  <c r="G4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G23" i="2" l="1"/>
  <c r="I9" i="2"/>
  <c r="I23" i="2" s="1"/>
  <c r="H23" i="2"/>
  <c r="G8" i="2"/>
  <c r="G7" i="2"/>
  <c r="G6" i="2"/>
  <c r="G5" i="2"/>
  <c r="H3" i="2"/>
  <c r="I3" i="2" s="1"/>
  <c r="G3" i="2"/>
</calcChain>
</file>

<file path=xl/sharedStrings.xml><?xml version="1.0" encoding="utf-8"?>
<sst xmlns="http://schemas.openxmlformats.org/spreadsheetml/2006/main" count="64" uniqueCount="37">
  <si>
    <t>#</t>
  </si>
  <si>
    <t>Room #</t>
  </si>
  <si>
    <t>Capacity</t>
  </si>
  <si>
    <t>Bed #1</t>
  </si>
  <si>
    <t>Bed #2</t>
  </si>
  <si>
    <t>Room In use = 1          Empty = 0</t>
  </si>
  <si>
    <t>Occupied Beds</t>
  </si>
  <si>
    <t>Beds Available</t>
  </si>
  <si>
    <t>#DDEBF7</t>
  </si>
  <si>
    <t>#BDD7EE</t>
  </si>
  <si>
    <t>dia</t>
  </si>
  <si>
    <t>Luis Ruiz -T4</t>
  </si>
  <si>
    <t>Bucky Lee Gonzalez -T4</t>
  </si>
  <si>
    <t>Christopher Lauderdale-T5</t>
  </si>
  <si>
    <t>Dulce Ascencio (P5-8)-Noche</t>
  </si>
  <si>
    <t>Esdras N Lopez - P7</t>
  </si>
  <si>
    <t>Evian D Napier - P7</t>
  </si>
  <si>
    <t>Justin R Hernandez - P7</t>
  </si>
  <si>
    <t>CEDRIC T LEE-T7</t>
  </si>
  <si>
    <t>Alfonzo Deray Tucker- P7</t>
  </si>
  <si>
    <t>Brandon Hudson- P5</t>
  </si>
  <si>
    <t>Emory L. Lewis- P5</t>
  </si>
  <si>
    <t>Derwin B. Williams- P5</t>
  </si>
  <si>
    <t>Jordan T. Smith-T7</t>
  </si>
  <si>
    <t>Michael B. Felix-T7</t>
  </si>
  <si>
    <t>Jasmine Arce -T4</t>
  </si>
  <si>
    <t>Trey Grant-T7</t>
  </si>
  <si>
    <t>Roberto Golas- P8</t>
  </si>
  <si>
    <t>Christian Lee Richardson-T5</t>
  </si>
  <si>
    <t>Zabdi X Rodriguez - P6</t>
  </si>
  <si>
    <t>Joshua L Ritch-T5</t>
  </si>
  <si>
    <t>John Tyler Clark - P6</t>
  </si>
  <si>
    <t>RICKY ARGUELLES-T5</t>
  </si>
  <si>
    <t>Christian  Hunter-T5</t>
  </si>
  <si>
    <t>Christopher M Tuttle -T7</t>
  </si>
  <si>
    <t>Andrew Granville - P6</t>
  </si>
  <si>
    <t>AVU-4855      In-2:30pm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</si>
</sst>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name val="Calibri"/>
      <family val="2"/>
    </font>
    <font>
      <b/>
      <sz val="13"/>
      <name val="Calibri"/>
      <family val="2"/>
    </font>
    <font>
      <sz val="13"/>
      <name val="Calibri"/>
      <family val="2"/>
    </font>
    <font>
      <sz val="12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5" fillId="3" borderId="3" xfId="1" applyFont="1" applyFill="1" applyBorder="1"/>
    <xf numFmtId="0" fontId="4" fillId="0" borderId="1" xfId="1" applyFont="1" applyBorder="1"/>
    <xf numFmtId="0" fontId="5" fillId="3" borderId="1" xfId="1" applyFont="1" applyFill="1" applyBorder="1"/>
    <xf numFmtId="0" fontId="5" fillId="0" borderId="1" xfId="1" applyFont="1" applyBorder="1"/>
    <xf numFmtId="0" fontId="6" fillId="0" borderId="1" xfId="1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4" xfId="0" applyFont="1" applyBorder="1"/>
    <xf numFmtId="0" fontId="9" fillId="4" borderId="1" xfId="0" applyFont="1" applyFill="1" applyBorder="1"/>
    <xf numFmtId="0" fontId="0" fillId="0" borderId="0" xfId="0" applyAlignment="1">
      <alignment horizontal="center" vertical="center"/>
    </xf>
    <xf numFmtId="0" fontId="11" fillId="5" borderId="1" xfId="0" applyFont="1" applyFill="1" applyBorder="1"/>
    <xf numFmtId="0" fontId="10" fillId="6" borderId="1" xfId="0" applyFont="1" applyFill="1" applyBorder="1"/>
    <xf numFmtId="0" fontId="9" fillId="7" borderId="1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left"/>
    </xf>
    <xf numFmtId="0" fontId="12" fillId="5" borderId="1" xfId="0" applyFont="1" applyFill="1" applyBorder="1"/>
    <xf numFmtId="6" fontId="0" fillId="0" borderId="0" xfId="0" applyNumberFormat="1"/>
    <xf numFmtId="0" fontId="13" fillId="4" borderId="1" xfId="0" applyFont="1" applyFill="1" applyBorder="1"/>
    <xf numFmtId="0" fontId="8" fillId="0" borderId="6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5" xfId="1" applyFont="1" applyFill="1" applyBorder="1" applyAlignment="1">
      <alignment horizontal="center"/>
    </xf>
  </cellXfs>
  <cellStyles count="2">
    <cellStyle name="Normal" xfId="0" builtinId="0"/>
    <cellStyle name="Normal 2" xfId="1" xr:uid="{D7BCB410-5D8A-4CF5-B636-80D2CD961636}"/>
  </cellStyles>
  <dxfs count="0"/>
  <tableStyles count="0" defaultTableStyle="TableStyleMedium2" defaultPivotStyle="PivotStyleLight16"/>
  <colors>
    <mruColors>
      <color rgb="FFBDD7EE"/>
      <color rgb="FFFFF2CC"/>
      <color rgb="FFFFE69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152400</xdr:rowOff>
    </xdr:from>
    <xdr:to>
      <xdr:col>10</xdr:col>
      <xdr:colOff>467710</xdr:colOff>
      <xdr:row>25</xdr:row>
      <xdr:rowOff>153121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F4FA22-DFBA-AEA6-CA12-FEC6AE411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52400"/>
          <a:ext cx="7059010" cy="516327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26</xdr:row>
      <xdr:rowOff>9525</xdr:rowOff>
    </xdr:from>
    <xdr:to>
      <xdr:col>10</xdr:col>
      <xdr:colOff>429598</xdr:colOff>
      <xdr:row>36</xdr:row>
      <xdr:rowOff>57423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B799B7-5BFC-66D7-2C7E-CCEF9B96B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5362575"/>
          <a:ext cx="6973273" cy="1952898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37</xdr:row>
      <xdr:rowOff>0</xdr:rowOff>
    </xdr:from>
    <xdr:to>
      <xdr:col>10</xdr:col>
      <xdr:colOff>353389</xdr:colOff>
      <xdr:row>78</xdr:row>
      <xdr:rowOff>124932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D4C004-5A04-1C06-BE40-49FDF7EC0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7448550"/>
          <a:ext cx="6906589" cy="7935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C032-774D-46A5-BA72-D861A64D93BC}">
  <dimension ref="B1:R24"/>
  <sheetViews>
    <sheetView workbookViewId="0">
      <selection activeCell="P28" sqref="P28"/>
    </sheetView>
  </sheetViews>
  <sheetFormatPr defaultRowHeight="15"/>
  <cols>
    <col min="1" max="1" width="2" customWidth="1"/>
    <col min="3" max="3" width="8.42578125" customWidth="1"/>
    <col min="4" max="4" width="11.7109375" customWidth="1"/>
    <col min="5" max="6" width="33.7109375" customWidth="1"/>
    <col min="7" max="9" width="9.140625" customWidth="1"/>
    <col min="10" max="10" width="8" bestFit="1" customWidth="1"/>
    <col min="11" max="11" width="3.42578125" customWidth="1"/>
    <col min="12" max="13" width="34.7109375" customWidth="1"/>
    <col min="14" max="15" width="3.28515625" customWidth="1"/>
    <col min="16" max="17" width="34.7109375" customWidth="1"/>
  </cols>
  <sheetData>
    <row r="1" spans="2:18" ht="15.75" thickBot="1"/>
    <row r="2" spans="2:18" ht="36.75" thickBot="1">
      <c r="B2" s="3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2" t="s">
        <v>6</v>
      </c>
      <c r="I2" s="2" t="s">
        <v>7</v>
      </c>
      <c r="K2" s="14"/>
      <c r="L2" s="14" t="s">
        <v>8</v>
      </c>
      <c r="M2" s="14" t="s">
        <v>9</v>
      </c>
      <c r="N2" s="14"/>
      <c r="O2" s="14"/>
      <c r="Q2" t="s">
        <v>10</v>
      </c>
    </row>
    <row r="3" spans="2:18" ht="16.5" thickBot="1">
      <c r="B3" s="3">
        <v>1</v>
      </c>
      <c r="C3" s="9"/>
      <c r="D3" s="10">
        <v>2</v>
      </c>
      <c r="E3" s="17" t="s">
        <v>11</v>
      </c>
      <c r="F3" s="17" t="s">
        <v>12</v>
      </c>
      <c r="G3" s="12">
        <f>COUNTA(E3)</f>
        <v>1</v>
      </c>
      <c r="H3" s="12">
        <f>COUNTA(E3:F3)</f>
        <v>2</v>
      </c>
      <c r="I3" s="12">
        <f t="shared" ref="I3:I22" si="0">D3-H3</f>
        <v>0</v>
      </c>
      <c r="K3">
        <v>1</v>
      </c>
      <c r="L3" s="13" t="s">
        <v>13</v>
      </c>
      <c r="M3" s="19" t="s">
        <v>14</v>
      </c>
      <c r="N3">
        <v>6</v>
      </c>
      <c r="O3">
        <v>1</v>
      </c>
      <c r="P3" s="17" t="s">
        <v>11</v>
      </c>
      <c r="Q3" s="16" t="s">
        <v>15</v>
      </c>
      <c r="R3">
        <v>11</v>
      </c>
    </row>
    <row r="4" spans="2:18" ht="16.5" thickBot="1">
      <c r="B4" s="3">
        <v>2</v>
      </c>
      <c r="C4" s="9"/>
      <c r="D4" s="10">
        <v>2</v>
      </c>
      <c r="E4" s="16" t="s">
        <v>16</v>
      </c>
      <c r="F4" s="16" t="s">
        <v>17</v>
      </c>
      <c r="G4" s="12">
        <f>COUNTA(E4)</f>
        <v>1</v>
      </c>
      <c r="H4" s="12">
        <f>COUNTA(E4:F4)</f>
        <v>2</v>
      </c>
      <c r="I4" s="12">
        <f t="shared" si="0"/>
        <v>0</v>
      </c>
      <c r="L4" s="13" t="s">
        <v>18</v>
      </c>
      <c r="P4" s="17" t="s">
        <v>12</v>
      </c>
      <c r="Q4" s="16" t="s">
        <v>19</v>
      </c>
    </row>
    <row r="5" spans="2:18" ht="16.5" thickBot="1">
      <c r="B5" s="3">
        <v>3</v>
      </c>
      <c r="C5" s="10"/>
      <c r="D5" s="10">
        <v>2</v>
      </c>
      <c r="E5" s="16" t="s">
        <v>20</v>
      </c>
      <c r="F5" s="16" t="s">
        <v>21</v>
      </c>
      <c r="G5" s="12">
        <f t="shared" ref="G5:G8" si="1">COUNTA(E5)</f>
        <v>1</v>
      </c>
      <c r="H5" s="12">
        <f t="shared" ref="H5:H22" si="2">COUNTA(E5:F5)</f>
        <v>2</v>
      </c>
      <c r="I5" s="12">
        <f t="shared" si="0"/>
        <v>0</v>
      </c>
    </row>
    <row r="6" spans="2:18" ht="16.5" thickBot="1">
      <c r="B6" s="3">
        <v>4</v>
      </c>
      <c r="C6" s="10"/>
      <c r="D6" s="10">
        <v>2</v>
      </c>
      <c r="E6" s="16" t="s">
        <v>22</v>
      </c>
      <c r="F6" s="11"/>
      <c r="G6" s="12">
        <f t="shared" si="1"/>
        <v>1</v>
      </c>
      <c r="H6" s="12">
        <f t="shared" si="2"/>
        <v>1</v>
      </c>
      <c r="I6" s="12">
        <f t="shared" si="0"/>
        <v>1</v>
      </c>
      <c r="K6">
        <v>2</v>
      </c>
      <c r="L6" s="13" t="s">
        <v>23</v>
      </c>
      <c r="M6" s="13" t="s">
        <v>24</v>
      </c>
      <c r="N6">
        <v>7</v>
      </c>
      <c r="O6">
        <v>10</v>
      </c>
      <c r="P6" s="18" t="s">
        <v>25</v>
      </c>
      <c r="Q6" s="16" t="s">
        <v>20</v>
      </c>
      <c r="R6">
        <v>12</v>
      </c>
    </row>
    <row r="7" spans="2:18" ht="16.5" thickBot="1">
      <c r="B7" s="3">
        <v>5</v>
      </c>
      <c r="C7" s="9"/>
      <c r="D7" s="10">
        <v>2</v>
      </c>
      <c r="E7" s="16" t="s">
        <v>16</v>
      </c>
      <c r="F7" s="16" t="s">
        <v>17</v>
      </c>
      <c r="G7" s="12">
        <f t="shared" si="1"/>
        <v>1</v>
      </c>
      <c r="H7" s="12">
        <f t="shared" si="2"/>
        <v>2</v>
      </c>
      <c r="I7" s="12">
        <f t="shared" si="0"/>
        <v>0</v>
      </c>
      <c r="L7" s="13" t="s">
        <v>26</v>
      </c>
      <c r="M7" s="15" t="s">
        <v>27</v>
      </c>
      <c r="Q7" s="16" t="s">
        <v>21</v>
      </c>
    </row>
    <row r="8" spans="2:18" ht="16.5" thickBot="1">
      <c r="B8" s="3">
        <v>6</v>
      </c>
      <c r="C8" s="9"/>
      <c r="D8" s="10">
        <v>2</v>
      </c>
      <c r="E8" s="18" t="s">
        <v>25</v>
      </c>
      <c r="F8" s="11"/>
      <c r="G8" s="12">
        <f t="shared" si="1"/>
        <v>1</v>
      </c>
      <c r="H8" s="12">
        <f t="shared" si="2"/>
        <v>1</v>
      </c>
      <c r="I8" s="12">
        <f t="shared" si="0"/>
        <v>1</v>
      </c>
    </row>
    <row r="9" spans="2:18" ht="16.5" thickBot="1">
      <c r="B9" s="3">
        <v>7</v>
      </c>
      <c r="C9" s="9"/>
      <c r="D9" s="10">
        <v>2</v>
      </c>
      <c r="E9" s="19" t="s">
        <v>14</v>
      </c>
      <c r="F9" s="3"/>
      <c r="G9" s="12">
        <f t="shared" ref="G9:G22" si="3">COUNTA(E9)</f>
        <v>1</v>
      </c>
      <c r="H9" s="12">
        <f t="shared" si="2"/>
        <v>1</v>
      </c>
      <c r="I9" s="12">
        <f t="shared" si="0"/>
        <v>1</v>
      </c>
      <c r="K9">
        <v>3</v>
      </c>
      <c r="L9" s="21" t="s">
        <v>28</v>
      </c>
      <c r="M9" s="15" t="s">
        <v>29</v>
      </c>
      <c r="N9">
        <v>8</v>
      </c>
      <c r="Q9" s="16" t="s">
        <v>16</v>
      </c>
      <c r="R9">
        <v>13</v>
      </c>
    </row>
    <row r="10" spans="2:18" ht="16.5" thickBot="1">
      <c r="B10" s="3">
        <v>8</v>
      </c>
      <c r="C10" s="9"/>
      <c r="D10" s="10">
        <v>2</v>
      </c>
      <c r="E10" s="13" t="s">
        <v>24</v>
      </c>
      <c r="G10" s="12">
        <f t="shared" si="3"/>
        <v>1</v>
      </c>
      <c r="H10" s="12">
        <f t="shared" si="2"/>
        <v>1</v>
      </c>
      <c r="I10" s="12">
        <f t="shared" si="0"/>
        <v>1</v>
      </c>
      <c r="L10" s="21" t="s">
        <v>30</v>
      </c>
      <c r="M10" s="15" t="s">
        <v>31</v>
      </c>
      <c r="Q10" s="16" t="s">
        <v>17</v>
      </c>
    </row>
    <row r="11" spans="2:18" ht="16.5" thickBot="1">
      <c r="B11" s="3">
        <v>9</v>
      </c>
      <c r="C11" s="10"/>
      <c r="D11" s="10">
        <v>2</v>
      </c>
      <c r="E11" s="15" t="s">
        <v>29</v>
      </c>
      <c r="F11" s="15" t="s">
        <v>31</v>
      </c>
      <c r="G11" s="12">
        <f t="shared" si="3"/>
        <v>1</v>
      </c>
      <c r="H11" s="12">
        <f t="shared" si="2"/>
        <v>2</v>
      </c>
      <c r="I11" s="12">
        <f t="shared" si="0"/>
        <v>0</v>
      </c>
    </row>
    <row r="12" spans="2:18" ht="16.5" thickBot="1">
      <c r="B12" s="3">
        <v>10</v>
      </c>
      <c r="C12" s="10"/>
      <c r="D12" s="10">
        <v>2</v>
      </c>
      <c r="E12" s="13" t="s">
        <v>32</v>
      </c>
      <c r="F12" s="13" t="s">
        <v>33</v>
      </c>
      <c r="G12" s="12">
        <f t="shared" si="3"/>
        <v>1</v>
      </c>
      <c r="H12" s="12">
        <f t="shared" si="2"/>
        <v>2</v>
      </c>
      <c r="I12" s="12">
        <f t="shared" si="0"/>
        <v>0</v>
      </c>
      <c r="K12">
        <v>4</v>
      </c>
      <c r="L12" s="13" t="s">
        <v>32</v>
      </c>
      <c r="Q12" s="16" t="s">
        <v>22</v>
      </c>
      <c r="R12">
        <v>14</v>
      </c>
    </row>
    <row r="13" spans="2:18" ht="16.5" thickBot="1">
      <c r="B13" s="3">
        <v>11</v>
      </c>
      <c r="C13" s="9"/>
      <c r="D13" s="10">
        <v>2</v>
      </c>
      <c r="E13" s="13" t="s">
        <v>28</v>
      </c>
      <c r="F13" s="13" t="s">
        <v>30</v>
      </c>
      <c r="G13" s="12">
        <f t="shared" si="3"/>
        <v>1</v>
      </c>
      <c r="H13" s="12">
        <f t="shared" si="2"/>
        <v>2</v>
      </c>
      <c r="I13" s="12">
        <f t="shared" si="0"/>
        <v>0</v>
      </c>
      <c r="L13" s="13" t="s">
        <v>33</v>
      </c>
    </row>
    <row r="14" spans="2:18" ht="16.5" thickBot="1">
      <c r="B14" s="3">
        <v>12</v>
      </c>
      <c r="C14" s="9"/>
      <c r="D14" s="10">
        <v>2</v>
      </c>
      <c r="E14" s="13" t="s">
        <v>18</v>
      </c>
      <c r="F14" s="13" t="s">
        <v>13</v>
      </c>
      <c r="G14" s="12">
        <f t="shared" si="3"/>
        <v>1</v>
      </c>
      <c r="H14" s="12">
        <f t="shared" si="2"/>
        <v>2</v>
      </c>
      <c r="I14" s="12">
        <f t="shared" si="0"/>
        <v>0</v>
      </c>
    </row>
    <row r="15" spans="2:18" ht="16.5" thickBot="1">
      <c r="B15" s="3">
        <v>13</v>
      </c>
      <c r="C15" s="9"/>
      <c r="D15" s="10">
        <v>2</v>
      </c>
      <c r="E15" s="13" t="s">
        <v>23</v>
      </c>
      <c r="F15" s="13" t="s">
        <v>26</v>
      </c>
      <c r="G15" s="12">
        <f t="shared" si="3"/>
        <v>1</v>
      </c>
      <c r="H15" s="12">
        <f t="shared" si="2"/>
        <v>2</v>
      </c>
      <c r="I15" s="12">
        <f t="shared" si="0"/>
        <v>0</v>
      </c>
      <c r="K15">
        <v>5</v>
      </c>
      <c r="L15" s="21" t="s">
        <v>34</v>
      </c>
    </row>
    <row r="16" spans="2:18" ht="16.5" thickBot="1">
      <c r="B16" s="3">
        <v>14</v>
      </c>
      <c r="C16" s="9"/>
      <c r="D16" s="10">
        <v>2</v>
      </c>
      <c r="E16" s="15" t="s">
        <v>35</v>
      </c>
      <c r="F16" s="13" t="s">
        <v>34</v>
      </c>
      <c r="G16" s="12">
        <f t="shared" si="3"/>
        <v>1</v>
      </c>
      <c r="H16" s="12">
        <f t="shared" si="2"/>
        <v>2</v>
      </c>
      <c r="I16" s="12">
        <f t="shared" si="0"/>
        <v>0</v>
      </c>
      <c r="L16" s="15" t="s">
        <v>35</v>
      </c>
    </row>
    <row r="17" spans="2:12" ht="16.5" hidden="1" thickBot="1">
      <c r="B17" s="3">
        <v>15</v>
      </c>
      <c r="C17" s="10"/>
      <c r="D17" s="10">
        <v>2</v>
      </c>
      <c r="E17" s="3"/>
      <c r="F17" s="3"/>
      <c r="G17" s="12">
        <f t="shared" si="3"/>
        <v>0</v>
      </c>
      <c r="H17" s="12">
        <f t="shared" si="2"/>
        <v>0</v>
      </c>
      <c r="I17" s="12">
        <f t="shared" si="0"/>
        <v>2</v>
      </c>
    </row>
    <row r="18" spans="2:12" ht="16.5" hidden="1" thickBot="1">
      <c r="B18" s="3">
        <v>16</v>
      </c>
      <c r="C18" s="10"/>
      <c r="D18" s="10">
        <v>2</v>
      </c>
      <c r="E18" s="3"/>
      <c r="F18" s="3"/>
      <c r="G18" s="12">
        <f t="shared" si="3"/>
        <v>0</v>
      </c>
      <c r="H18" s="12">
        <f t="shared" si="2"/>
        <v>0</v>
      </c>
      <c r="I18" s="12">
        <f t="shared" si="0"/>
        <v>2</v>
      </c>
    </row>
    <row r="19" spans="2:12" ht="16.5" hidden="1" thickBot="1">
      <c r="B19" s="3">
        <v>17</v>
      </c>
      <c r="C19" s="9"/>
      <c r="D19" s="10">
        <v>2</v>
      </c>
      <c r="E19" s="3"/>
      <c r="F19" s="3"/>
      <c r="G19" s="12">
        <f t="shared" si="3"/>
        <v>0</v>
      </c>
      <c r="H19" s="12">
        <f t="shared" si="2"/>
        <v>0</v>
      </c>
      <c r="I19" s="12">
        <f t="shared" si="0"/>
        <v>2</v>
      </c>
    </row>
    <row r="20" spans="2:12" ht="16.5" hidden="1" thickBot="1">
      <c r="B20" s="3">
        <v>18</v>
      </c>
      <c r="C20" s="9"/>
      <c r="D20" s="10">
        <v>2</v>
      </c>
      <c r="E20" s="3"/>
      <c r="F20" s="3"/>
      <c r="G20" s="12">
        <f t="shared" si="3"/>
        <v>0</v>
      </c>
      <c r="H20" s="12">
        <f t="shared" si="2"/>
        <v>0</v>
      </c>
      <c r="I20" s="12">
        <f t="shared" si="0"/>
        <v>2</v>
      </c>
    </row>
    <row r="21" spans="2:12" ht="16.5" hidden="1" thickBot="1">
      <c r="B21" s="3">
        <v>19</v>
      </c>
      <c r="C21" s="9"/>
      <c r="D21" s="10">
        <v>2</v>
      </c>
      <c r="E21" s="3"/>
      <c r="F21" s="3"/>
      <c r="G21" s="12">
        <f t="shared" si="3"/>
        <v>0</v>
      </c>
      <c r="H21" s="12">
        <f t="shared" si="2"/>
        <v>0</v>
      </c>
      <c r="I21" s="12">
        <f t="shared" si="0"/>
        <v>2</v>
      </c>
    </row>
    <row r="22" spans="2:12" ht="16.5" hidden="1" thickBot="1">
      <c r="B22" s="3">
        <v>20</v>
      </c>
      <c r="C22" s="9"/>
      <c r="D22" s="10">
        <v>2</v>
      </c>
      <c r="E22" s="3"/>
      <c r="F22" s="3"/>
      <c r="G22" s="12">
        <f t="shared" si="3"/>
        <v>0</v>
      </c>
      <c r="H22" s="12">
        <f t="shared" si="2"/>
        <v>0</v>
      </c>
      <c r="I22" s="12">
        <f t="shared" si="0"/>
        <v>2</v>
      </c>
    </row>
    <row r="23" spans="2:12" ht="16.5" thickBot="1">
      <c r="G23" s="22">
        <f>SUM(G3:G16)</f>
        <v>14</v>
      </c>
      <c r="H23" s="22">
        <f>SUM(H3:H16)</f>
        <v>24</v>
      </c>
      <c r="I23" s="22">
        <f>SUM(I3:I16)</f>
        <v>4</v>
      </c>
      <c r="L23" s="20">
        <v>53</v>
      </c>
    </row>
    <row r="24" spans="2:12" ht="36.75" thickBot="1">
      <c r="G24" s="23" t="s">
        <v>5</v>
      </c>
      <c r="H24" s="23" t="s">
        <v>6</v>
      </c>
      <c r="I24" s="2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6F3D-65CE-456D-B04A-A14F5F815903}">
  <dimension ref="D3:E16"/>
  <sheetViews>
    <sheetView tabSelected="1" workbookViewId="0">
      <selection activeCell="S13" sqref="S13"/>
    </sheetView>
  </sheetViews>
  <sheetFormatPr defaultRowHeight="15"/>
  <cols>
    <col min="4" max="4" width="3.85546875" bestFit="1" customWidth="1"/>
    <col min="5" max="5" width="24.5703125" bestFit="1" customWidth="1"/>
  </cols>
  <sheetData>
    <row r="3" spans="4:5" ht="17.25">
      <c r="D3" s="24"/>
      <c r="E3" s="24"/>
    </row>
    <row r="4" spans="4:5" ht="17.25">
      <c r="D4" s="25" t="s">
        <v>36</v>
      </c>
      <c r="E4" s="25"/>
    </row>
    <row r="5" spans="4:5" ht="17.25">
      <c r="D5" s="4">
        <v>1</v>
      </c>
      <c r="E5" s="5"/>
    </row>
    <row r="6" spans="4:5" ht="17.25">
      <c r="D6" s="6">
        <f t="shared" ref="D6:D16" si="0">D5+1</f>
        <v>2</v>
      </c>
      <c r="E6" s="7"/>
    </row>
    <row r="7" spans="4:5" ht="17.25">
      <c r="D7" s="6">
        <f t="shared" si="0"/>
        <v>3</v>
      </c>
      <c r="E7" s="7"/>
    </row>
    <row r="8" spans="4:5" ht="17.25">
      <c r="D8" s="6">
        <f t="shared" si="0"/>
        <v>4</v>
      </c>
      <c r="E8" s="7"/>
    </row>
    <row r="9" spans="4:5" ht="17.25">
      <c r="D9" s="6">
        <f t="shared" si="0"/>
        <v>5</v>
      </c>
      <c r="E9" s="7"/>
    </row>
    <row r="10" spans="4:5" ht="17.25">
      <c r="D10" s="6">
        <f t="shared" si="0"/>
        <v>6</v>
      </c>
      <c r="E10" s="7"/>
    </row>
    <row r="11" spans="4:5" ht="17.25">
      <c r="D11" s="6">
        <f t="shared" si="0"/>
        <v>7</v>
      </c>
      <c r="E11" s="7"/>
    </row>
    <row r="12" spans="4:5" ht="17.25">
      <c r="D12" s="6">
        <f t="shared" si="0"/>
        <v>8</v>
      </c>
      <c r="E12" s="7"/>
    </row>
    <row r="13" spans="4:5" ht="17.25">
      <c r="D13" s="6">
        <f t="shared" si="0"/>
        <v>9</v>
      </c>
      <c r="E13" s="7"/>
    </row>
    <row r="14" spans="4:5" ht="17.25">
      <c r="D14" s="6">
        <f t="shared" si="0"/>
        <v>10</v>
      </c>
      <c r="E14" s="8"/>
    </row>
    <row r="15" spans="4:5" ht="17.25">
      <c r="D15" s="6">
        <f t="shared" si="0"/>
        <v>11</v>
      </c>
      <c r="E15" s="7"/>
    </row>
    <row r="16" spans="4:5" ht="17.25">
      <c r="D16" s="6">
        <f t="shared" si="0"/>
        <v>12</v>
      </c>
      <c r="E16" s="7"/>
    </row>
  </sheetData>
  <mergeCells count="2">
    <mergeCell ref="D3:E3"/>
    <mergeCell ref="D4:E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93cd94-7174-4cb7-8bf1-3a82700f7258">
      <Terms xmlns="http://schemas.microsoft.com/office/infopath/2007/PartnerControls"/>
    </lcf76f155ced4ddcb4097134ff3c332f>
    <TaxCatchAll xmlns="dd45fcd1-5224-47d8-98d6-bf41b81547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44B888210F745995458AFF4B27F5A" ma:contentTypeVersion="10" ma:contentTypeDescription="Create a new document." ma:contentTypeScope="" ma:versionID="0b4749b6aade8d1de92f93366160c2f3">
  <xsd:schema xmlns:xsd="http://www.w3.org/2001/XMLSchema" xmlns:xs="http://www.w3.org/2001/XMLSchema" xmlns:p="http://schemas.microsoft.com/office/2006/metadata/properties" xmlns:ns2="2d93cd94-7174-4cb7-8bf1-3a82700f7258" xmlns:ns3="dd45fcd1-5224-47d8-98d6-bf41b8154712" targetNamespace="http://schemas.microsoft.com/office/2006/metadata/properties" ma:root="true" ma:fieldsID="3d6810b4dcd220e032a6af91e1cf34af" ns2:_="" ns3:_="">
    <xsd:import namespace="2d93cd94-7174-4cb7-8bf1-3a82700f7258"/>
    <xsd:import namespace="dd45fcd1-5224-47d8-98d6-bf41b81547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93cd94-7174-4cb7-8bf1-3a82700f7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5fcd1-5224-47d8-98d6-bf41b81547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1091c-8a98-471b-808e-413285f52409}" ma:internalName="TaxCatchAll" ma:showField="CatchAllData" ma:web="dd45fcd1-5224-47d8-98d6-bf41b81547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DDA2B0-68B8-48F2-BC34-DC0318F36135}"/>
</file>

<file path=customXml/itemProps2.xml><?xml version="1.0" encoding="utf-8"?>
<ds:datastoreItem xmlns:ds="http://schemas.openxmlformats.org/officeDocument/2006/customXml" ds:itemID="{CE9945EC-2F44-44DE-96B4-A98884622AAE}"/>
</file>

<file path=customXml/itemProps3.xml><?xml version="1.0" encoding="utf-8"?>
<ds:datastoreItem xmlns:ds="http://schemas.openxmlformats.org/officeDocument/2006/customXml" ds:itemID="{70357583-B4A0-486D-ABAC-4E3E527F0F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Linoshka Santana</dc:creator>
  <cp:keywords/>
  <dc:description/>
  <cp:lastModifiedBy>Dawn Whitmore</cp:lastModifiedBy>
  <cp:revision/>
  <dcterms:created xsi:type="dcterms:W3CDTF">2026-03-30T21:43:26Z</dcterms:created>
  <dcterms:modified xsi:type="dcterms:W3CDTF">2026-04-27T17:30:07Z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0x010100E6344B888210F745995458AFF4B27F5A</vt:lpwstr>
  </property>
  <property fmtid="{D5CDD505-2E9C-101B-9397-08002B2CF9AE}" pid="3" name="MediaServiceImageTags">
    <vt:lpwstr/>
  </property>
</Properties>
</file>